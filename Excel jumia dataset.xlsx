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8e9\AC\Temp\"/>
    </mc:Choice>
  </mc:AlternateContent>
  <xr:revisionPtr revIDLastSave="0" documentId="8_{D199F84A-C1EF-6049-AABE-7FF483654A22}" xr6:coauthVersionLast="47" xr6:coauthVersionMax="47" xr10:uidLastSave="{00000000-0000-0000-0000-000000000000}"/>
  <bookViews>
    <workbookView xWindow="-60" yWindow="-60" windowWidth="15480" windowHeight="11640" activeTab="3" xr2:uid="{889DA991-225A-42ED-B205-B0B8D197F493}"/>
  </bookViews>
  <sheets>
    <sheet name="Raw data" sheetId="1" r:id="rId1"/>
    <sheet name="Cleaned data" sheetId="2" r:id="rId2"/>
    <sheet name="cleaning log" sheetId="5" r:id="rId3"/>
    <sheet name="Pivot tables " sheetId="3" r:id="rId4"/>
    <sheet name="Dashboard " sheetId="4" r:id="rId5"/>
  </sheets>
  <definedNames>
    <definedName name="_xlnm._FilterDatabase" localSheetId="1" hidden="1">'Cleaned data'!$A$1:$H$110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3" l="1"/>
  <c r="E5" i="3"/>
  <c r="E4" i="3"/>
  <c r="H48" i="2"/>
  <c r="H16" i="2"/>
  <c r="H17" i="2"/>
  <c r="H18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8" i="2"/>
  <c r="H37" i="2"/>
  <c r="H7" i="2"/>
  <c r="H46" i="2"/>
  <c r="H6" i="2"/>
  <c r="H24" i="2"/>
  <c r="H5" i="2"/>
  <c r="H4" i="2"/>
  <c r="H3" i="2"/>
  <c r="H36" i="2"/>
  <c r="H23" i="2"/>
  <c r="H2" i="2"/>
  <c r="H45" i="2"/>
  <c r="H44" i="2"/>
  <c r="H43" i="2"/>
  <c r="H20" i="2"/>
  <c r="H40" i="2"/>
  <c r="H11" i="2"/>
  <c r="H10" i="2"/>
  <c r="H55" i="2"/>
  <c r="H53" i="2"/>
  <c r="H54" i="2"/>
  <c r="H51" i="2"/>
  <c r="H35" i="2"/>
  <c r="H22" i="2"/>
  <c r="H57" i="2"/>
  <c r="H52" i="2"/>
  <c r="H29" i="2"/>
  <c r="H15" i="2"/>
  <c r="H28" i="2"/>
  <c r="H27" i="2"/>
  <c r="H30" i="2"/>
  <c r="H42" i="2"/>
  <c r="H14" i="2"/>
  <c r="H39" i="2"/>
  <c r="H9" i="2"/>
  <c r="H33" i="2"/>
  <c r="H56" i="2"/>
  <c r="H38" i="2"/>
  <c r="H41" i="2"/>
  <c r="H25" i="2"/>
  <c r="H32" i="2"/>
  <c r="H49" i="2"/>
  <c r="H34" i="2"/>
  <c r="H47" i="2"/>
  <c r="H50" i="2"/>
  <c r="H13" i="2"/>
  <c r="H31" i="2"/>
  <c r="H19" i="2"/>
  <c r="H21" i="2"/>
  <c r="H26" i="2"/>
  <c r="H12" i="2"/>
  <c r="B34" i="3"/>
  <c r="B33" i="3"/>
  <c r="B32" i="3"/>
  <c r="B31" i="3"/>
  <c r="B30" i="3"/>
  <c r="I2" i="2"/>
  <c r="I3" i="2"/>
  <c r="I4" i="2"/>
  <c r="I5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B27" i="3"/>
  <c r="B26" i="3"/>
  <c r="B25" i="3"/>
  <c r="B24" i="3"/>
  <c r="J2" i="2"/>
  <c r="J3" i="2"/>
  <c r="J4" i="2"/>
  <c r="J5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B21" i="3"/>
  <c r="B20" i="3"/>
  <c r="B19" i="3"/>
  <c r="B18" i="3"/>
  <c r="G48" i="2"/>
  <c r="G16" i="2"/>
  <c r="G17" i="2"/>
  <c r="G18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8" i="2"/>
  <c r="G37" i="2"/>
  <c r="G7" i="2"/>
  <c r="G46" i="2"/>
  <c r="G6" i="2"/>
  <c r="G24" i="2"/>
  <c r="G5" i="2"/>
  <c r="G4" i="2"/>
  <c r="G3" i="2"/>
  <c r="G36" i="2"/>
  <c r="G23" i="2"/>
  <c r="G2" i="2"/>
  <c r="G45" i="2"/>
  <c r="G44" i="2"/>
  <c r="G43" i="2"/>
  <c r="G20" i="2"/>
  <c r="G40" i="2"/>
  <c r="G11" i="2"/>
  <c r="G10" i="2"/>
  <c r="G55" i="2"/>
  <c r="G53" i="2"/>
  <c r="G54" i="2"/>
  <c r="G51" i="2"/>
  <c r="G35" i="2"/>
  <c r="G22" i="2"/>
  <c r="G57" i="2"/>
  <c r="G52" i="2"/>
  <c r="G29" i="2"/>
  <c r="G15" i="2"/>
  <c r="G28" i="2"/>
  <c r="G27" i="2"/>
  <c r="G30" i="2"/>
  <c r="G42" i="2"/>
  <c r="G14" i="2"/>
  <c r="G39" i="2"/>
  <c r="G9" i="2"/>
  <c r="G33" i="2"/>
  <c r="G56" i="2"/>
  <c r="G38" i="2"/>
  <c r="G41" i="2"/>
  <c r="G25" i="2"/>
  <c r="G32" i="2"/>
  <c r="G49" i="2"/>
  <c r="G34" i="2"/>
  <c r="G47" i="2"/>
  <c r="G50" i="2"/>
  <c r="G13" i="2"/>
  <c r="G31" i="2"/>
  <c r="G19" i="2"/>
  <c r="G21" i="2"/>
  <c r="G26" i="2"/>
  <c r="G12" i="2"/>
  <c r="B15" i="3"/>
  <c r="B14" i="3"/>
  <c r="B12" i="3"/>
  <c r="B11" i="3"/>
  <c r="B10" i="3"/>
  <c r="B9" i="3"/>
  <c r="B8" i="3"/>
  <c r="B7" i="3"/>
  <c r="B6" i="3"/>
  <c r="B5" i="3"/>
  <c r="B4" i="3"/>
  <c r="B3" i="3"/>
</calcChain>
</file>

<file path=xl/sharedStrings.xml><?xml version="1.0" encoding="utf-8"?>
<sst xmlns="http://schemas.openxmlformats.org/spreadsheetml/2006/main" count="612" uniqueCount="390">
  <si>
    <t>Product</t>
  </si>
  <si>
    <t>Current price</t>
  </si>
  <si>
    <t>old price</t>
  </si>
  <si>
    <t>Discount</t>
  </si>
  <si>
    <t>Review</t>
  </si>
  <si>
    <t>Ratingd</t>
  </si>
  <si>
    <t>115  Piece Set Of Multifunctional Precision Screwdrivers</t>
  </si>
  <si>
    <t>KSh 950</t>
  </si>
  <si>
    <t>KSh 1,525</t>
  </si>
  <si>
    <t>4.5 out of 5</t>
  </si>
  <si>
    <t>Metal Decorative Hooks Key Hangers Entryway Wall Hooks Towel Hooks - Home</t>
  </si>
  <si>
    <t>KSh 527</t>
  </si>
  <si>
    <t>KSh 999</t>
  </si>
  <si>
    <t>4.1 out of 5</t>
  </si>
  <si>
    <t>Portable Mini Cordless Car Vacuum Cleaner - Blue</t>
  </si>
  <si>
    <t>KSh 2,199</t>
  </si>
  <si>
    <t>KSh 2,923</t>
  </si>
  <si>
    <t>4.6 out of 5</t>
  </si>
  <si>
    <t>Weighing Scale Digital Bathroom Body Fat Scale USB-Black</t>
  </si>
  <si>
    <t>KSh 1,580</t>
  </si>
  <si>
    <t>KSh 2,499</t>
  </si>
  <si>
    <t>4.7 out of 5</t>
  </si>
  <si>
    <t>Portable Home Small Air Humidifier 3-Speed Fan - Green</t>
  </si>
  <si>
    <t>KSh 1,740</t>
  </si>
  <si>
    <t>KSh 2,356</t>
  </si>
  <si>
    <t>4.8 out of 5</t>
  </si>
  <si>
    <t>220V 60W Electric Soldering Iron Kits With Tools, Tips, And Multimeter</t>
  </si>
  <si>
    <t>KSh 2,999</t>
  </si>
  <si>
    <t>KSh 3,290</t>
  </si>
  <si>
    <t>4 out of 5</t>
  </si>
  <si>
    <t>137 Pieces Cake Decorating Tool Set Baking Supplies</t>
  </si>
  <si>
    <t>KSh 2,319</t>
  </si>
  <si>
    <t>KSh 3,032</t>
  </si>
  <si>
    <t>Desk Foldable Fan Adjustable Fan Strong Wind 3 Gear Usb</t>
  </si>
  <si>
    <t>KSh 988</t>
  </si>
  <si>
    <t>LASA FOLDING TABLE SERVING STAND</t>
  </si>
  <si>
    <t>KSh 1,274</t>
  </si>
  <si>
    <t>KSh 2,800</t>
  </si>
  <si>
    <t>13 In 1 Home Repair Tools Box Kit Set</t>
  </si>
  <si>
    <t>KSh 1,600</t>
  </si>
  <si>
    <t>KSh 2,929</t>
  </si>
  <si>
    <t>3.8 out of 5</t>
  </si>
  <si>
    <t>Genebre 115 In 1 Screwdriver Repairing Tool Set For IPhone Cellphone Hand Tool</t>
  </si>
  <si>
    <t>KSh 799</t>
  </si>
  <si>
    <t>100 Pcs Crochet Hook Tool Set Knitting Hook Set With Box</t>
  </si>
  <si>
    <t>KSh 990</t>
  </si>
  <si>
    <t>KSh 1,500</t>
  </si>
  <si>
    <t>40cm Gold DIY Acrylic Wall Sticker Clock</t>
  </si>
  <si>
    <t>KSh 552</t>
  </si>
  <si>
    <t>KSh 1,035</t>
  </si>
  <si>
    <t>LASA Digital Thermometer And Hydrometer</t>
  </si>
  <si>
    <t>KSh 501</t>
  </si>
  <si>
    <t>KSh 860</t>
  </si>
  <si>
    <t>Multifunction Laser Level With Adjustment Tripod</t>
  </si>
  <si>
    <t>KSh 1,680</t>
  </si>
  <si>
    <t>4.2 out of 5</t>
  </si>
  <si>
    <t>Anti-Skid Absorbent Insulation Coaster  For Home Office</t>
  </si>
  <si>
    <t>KSh 332</t>
  </si>
  <si>
    <t>KSh 684</t>
  </si>
  <si>
    <t>5 out of 5</t>
  </si>
  <si>
    <t>Peacock  Throw Pillow Cushion Case For Home Car</t>
  </si>
  <si>
    <t>KSh 195</t>
  </si>
  <si>
    <t>KSh 360</t>
  </si>
  <si>
    <t>LASA Aluminum Folding Truck Hand Cart - 68kg Max</t>
  </si>
  <si>
    <t>KSh 2,025</t>
  </si>
  <si>
    <t>KSh 3,971</t>
  </si>
  <si>
    <t>LED Wall Digital Alarm Clock Study Home 12 / 24H Clock Calendar</t>
  </si>
  <si>
    <t>KSh 3,699</t>
  </si>
  <si>
    <t>3D Waterproof EVA Plastic Shower Curtain 1.8*2Mtrs</t>
  </si>
  <si>
    <t>KSh 998</t>
  </si>
  <si>
    <t>KSh 1,966</t>
  </si>
  <si>
    <t>3PCS Single Head Knitting Crochet Sweater Needle Set</t>
  </si>
  <si>
    <t>KSh 38</t>
  </si>
  <si>
    <t>KSh 80</t>
  </si>
  <si>
    <t>3.3 out of 5</t>
  </si>
  <si>
    <t>4pcs Bathroom/Kitchen Towel Rack,Roll Paper Holder,Towel Bars,Hook</t>
  </si>
  <si>
    <t>KSh 1,860</t>
  </si>
  <si>
    <t>KSh 3,220</t>
  </si>
  <si>
    <t>LED Romantic Spaceship Starry Sky Projector,Children's Bedroom Night Light-Blue</t>
  </si>
  <si>
    <t>KSh 880</t>
  </si>
  <si>
    <t>KSh 1,350</t>
  </si>
  <si>
    <t>Foldable Overbed Table/Desk</t>
  </si>
  <si>
    <t>KSh 1,650</t>
  </si>
  <si>
    <t>KSh 2,150</t>
  </si>
  <si>
    <t>4.4 out of 5</t>
  </si>
  <si>
    <t>LASA 3 Tier Bamboo Shoe Bench Storage Shelf</t>
  </si>
  <si>
    <t>KSh 2,048</t>
  </si>
  <si>
    <t>KSh 4,500</t>
  </si>
  <si>
    <t>4.3 out of 5</t>
  </si>
  <si>
    <t>Electronic Digital Display Vernier Caliper</t>
  </si>
  <si>
    <t>KSh 420</t>
  </si>
  <si>
    <t>KSh 647</t>
  </si>
  <si>
    <t>Portable Wardrobe Nonwoven With 3 Hanging Rods And 6 Storage Shelves</t>
  </si>
  <si>
    <t>KSh 2,880</t>
  </si>
  <si>
    <t>KSh 3,520</t>
  </si>
  <si>
    <t>12 Litre Black Insulated Lunch Box</t>
  </si>
  <si>
    <t>KSh 1,990</t>
  </si>
  <si>
    <t>52 Pieces Cake Decorating Tool Set Gift Kit Baking Supplies</t>
  </si>
  <si>
    <t>KSh 1,758</t>
  </si>
  <si>
    <t>MultiFunctional Storage Rack Multi-layer Bookshelf</t>
  </si>
  <si>
    <t>KSh 2,200</t>
  </si>
  <si>
    <t>KSh 4,080</t>
  </si>
  <si>
    <t>Exfoliate And Exfoliate Face Towel - Black</t>
  </si>
  <si>
    <t>KSh 185</t>
  </si>
  <si>
    <t>KSh 382</t>
  </si>
  <si>
    <t>12 Litre Insulated Lunch Box Grey</t>
  </si>
  <si>
    <t>KSh 980</t>
  </si>
  <si>
    <t>KSh 1,490</t>
  </si>
  <si>
    <t>LED Eye Protection  Desk Lamp , Study, Reading, USB Fan - Double Pen Holder</t>
  </si>
  <si>
    <t>KSh 1,820</t>
  </si>
  <si>
    <t>KSh 3,490</t>
  </si>
  <si>
    <t>53Pcs/Set Yarn Knitting Crochet Hooks With Bag - Fortune Cat</t>
  </si>
  <si>
    <t>KSh 1,940</t>
  </si>
  <si>
    <t>KSh 2,650</t>
  </si>
  <si>
    <t>53 Pieces/Set Yarn Knitting Crochet Hooks With Bag - Pansies</t>
  </si>
  <si>
    <t>KSh 1,980</t>
  </si>
  <si>
    <t>KSh 2,699</t>
  </si>
  <si>
    <t>DIY File Folder, Office Drawer File Holder, Pen Holder, Desktop Storage Rack</t>
  </si>
  <si>
    <t>KSh 1,620</t>
  </si>
  <si>
    <t>KSh 2,690</t>
  </si>
  <si>
    <t>Classic Black Cat Cotton Hemp Pillow Case For Home Car</t>
  </si>
  <si>
    <t>KSh 171</t>
  </si>
  <si>
    <t>Punch-free Great Load Bearing Bathroom Storage Rack Wall Shelf-White</t>
  </si>
  <si>
    <t>KSh 389</t>
  </si>
  <si>
    <t>KSh 656</t>
  </si>
  <si>
    <t>1/2/3 Seater Elastic Sofa Cover,Living Room/Home Decor Chair Cover-Grey</t>
  </si>
  <si>
    <t>KSh 1,620 - KSh 1,980</t>
  </si>
  <si>
    <t>KSh 2,200 - KSh 3,200</t>
  </si>
  <si>
    <t>LASA Stainless Steel Double Wall Mount Soap Dispenser - 500ml</t>
  </si>
  <si>
    <t>KSh 2,750</t>
  </si>
  <si>
    <t>KSh 4,471</t>
  </si>
  <si>
    <t>4M Float Switch Water Level Controller -Water Tank</t>
  </si>
  <si>
    <t>KSh 475</t>
  </si>
  <si>
    <t>KSh 931</t>
  </si>
  <si>
    <t>Modern Sofa Throw Pillow Cover-45x45cm-Blue&amp;Red</t>
  </si>
  <si>
    <t>KSh 238</t>
  </si>
  <si>
    <t>KSh 476</t>
  </si>
  <si>
    <t>Balloon Insert, Birthday Party Balloon Set, PU Leather</t>
  </si>
  <si>
    <t>KSh 610</t>
  </si>
  <si>
    <t>KSh 1,060</t>
  </si>
  <si>
    <t>Shower Cap Wide Elastic Band Cover Reusable Bashroom Cap</t>
  </si>
  <si>
    <t>KSh 2,132</t>
  </si>
  <si>
    <t>KSh 2,169</t>
  </si>
  <si>
    <t>Christmas Elk Fence Yard Lawn Decorations Cute For Holidays</t>
  </si>
  <si>
    <t>KSh 2,000</t>
  </si>
  <si>
    <t>60W Hot Melt Glue Sprayer - Efficient And Stable Glue Dispensing</t>
  </si>
  <si>
    <t>KSh 1,190</t>
  </si>
  <si>
    <t>KSh 1,785</t>
  </si>
  <si>
    <t>Car Phone Charging Stand</t>
  </si>
  <si>
    <t>KSh 671</t>
  </si>
  <si>
    <t>KSh 1,316</t>
  </si>
  <si>
    <t>2pcs Solar Street Light Flood Light Outdoor</t>
  </si>
  <si>
    <t>KSh 1,200</t>
  </si>
  <si>
    <t>KSh 1,950</t>
  </si>
  <si>
    <t>Creative Owl Shape Keychain Black</t>
  </si>
  <si>
    <t>KSh 199</t>
  </si>
  <si>
    <t>KSh 504</t>
  </si>
  <si>
    <t>Brush &amp; Paintbrush Cleaning Tool Pink</t>
  </si>
  <si>
    <t>KSh 299</t>
  </si>
  <si>
    <t>KSh 600</t>
  </si>
  <si>
    <t>Pen Grips For Kids Pen Grip Posture Correction Tool For Kids</t>
  </si>
  <si>
    <t>KSh 1,660</t>
  </si>
  <si>
    <t>KSh 1,699</t>
  </si>
  <si>
    <t>Pilates Cloth Bag Waterproof Durable High Capacity Purple</t>
  </si>
  <si>
    <t>KSh 384</t>
  </si>
  <si>
    <t>Multi-purpose Rice Drainage Basket And Fruit And Vegetable Drainage Sieve</t>
  </si>
  <si>
    <t>KSh 1,459</t>
  </si>
  <si>
    <t>KSh 1,499</t>
  </si>
  <si>
    <t>Cute Christmas Fence Garden Decorations For Holiday Home</t>
  </si>
  <si>
    <t>KSh 1,343</t>
  </si>
  <si>
    <t>Simple Metal Dog Art Sculpture Decoration For Home Office</t>
  </si>
  <si>
    <t>KSh 499</t>
  </si>
  <si>
    <t>KSh 900</t>
  </si>
  <si>
    <t>Christmas Fence Garden Decorations Outdoor For Holiday Home</t>
  </si>
  <si>
    <t>KSh 699</t>
  </si>
  <si>
    <t>Angle Measuring Tool Full Metal Multi Angle Measuring Tool</t>
  </si>
  <si>
    <t>KSh 1,567</t>
  </si>
  <si>
    <t>12V 19500rpm Handheld Electric Angle Grinder Tool - UK - Yellow/Black</t>
  </si>
  <si>
    <t>KSh 2,799</t>
  </si>
  <si>
    <t>KSh 3,810</t>
  </si>
  <si>
    <t>KSh 399</t>
  </si>
  <si>
    <t>KSh 896</t>
  </si>
  <si>
    <t>5 Pieces/set Of Stainless Steel Induction Cooker Pots</t>
  </si>
  <si>
    <t>KSh 2,170</t>
  </si>
  <si>
    <t>KSh 2,500</t>
  </si>
  <si>
    <t>2.5 out of 5</t>
  </si>
  <si>
    <t>Mythco 120COB Solar Wall Ligt With Motion Sensor And Remote Control 3 Modes</t>
  </si>
  <si>
    <t>KSh 458</t>
  </si>
  <si>
    <t>KSh 986</t>
  </si>
  <si>
    <t>3 out of 5</t>
  </si>
  <si>
    <t>5-PCS Stainless Steel Cooking Pot Set With Steamed Slices</t>
  </si>
  <si>
    <t>KSh 2,115</t>
  </si>
  <si>
    <t>KSh 4,700</t>
  </si>
  <si>
    <t>2.1 out of 5</t>
  </si>
  <si>
    <t>120W Cordless Vacuum Cleaners Handheld Electric Vacuum Cleaner</t>
  </si>
  <si>
    <t>KSh 445</t>
  </si>
  <si>
    <t>KSh 873</t>
  </si>
  <si>
    <t>2.8 out of 5</t>
  </si>
  <si>
    <t>Intelligent  LED Body Sensor Wireless Lighting Night Light USB</t>
  </si>
  <si>
    <t>KSh 325</t>
  </si>
  <si>
    <t>KSh 680</t>
  </si>
  <si>
    <t>2.7 out of 5</t>
  </si>
  <si>
    <t>VIC Wireless Vacuum Cleaner Dual Use For Home And Car 120W High Power Powerful</t>
  </si>
  <si>
    <t>KSh 1,220</t>
  </si>
  <si>
    <t>KSh 1,555</t>
  </si>
  <si>
    <t>2.9 out of 5</t>
  </si>
  <si>
    <t>Artificial Potted Flowers Room Decorative Flowers (2 Pieces)</t>
  </si>
  <si>
    <t>KSh 1,814</t>
  </si>
  <si>
    <t>2.2 out of 5</t>
  </si>
  <si>
    <t>380ML USB Rechargeable Portable Small Blenders And Juicers</t>
  </si>
  <si>
    <t>KSh 1,000</t>
  </si>
  <si>
    <t>2.3 out of 5</t>
  </si>
  <si>
    <t>32PCS Portable Cordless Drill Set With Cyclic Battery Drive -26 Variable Speed</t>
  </si>
  <si>
    <t>KSh 3,750</t>
  </si>
  <si>
    <t>KSh 6,143</t>
  </si>
  <si>
    <t>Agapeon Toothbrush Holder And Toothpaste Dispenser</t>
  </si>
  <si>
    <t>KSh 700</t>
  </si>
  <si>
    <t>2.6 out of 5</t>
  </si>
  <si>
    <t>Large Lazy Inflatable Sofa Chairs PVC Lounger Seat Bag</t>
  </si>
  <si>
    <t>KSh 2,300</t>
  </si>
  <si>
    <t>KSh 3,240</t>
  </si>
  <si>
    <t>Watercolour Gold Foil Textured Print Pillow Cover</t>
  </si>
  <si>
    <t>KSh 345</t>
  </si>
  <si>
    <t>KSh 602</t>
  </si>
  <si>
    <t>Wrought Iron Bathroom Shelf Wall Mounted Free Punch Toilet Rack</t>
  </si>
  <si>
    <t>KSh 509</t>
  </si>
  <si>
    <t>KSh 899</t>
  </si>
  <si>
    <t>7-piece Set Of Storage Bags, Travel Storage Bags, Shoe Bags</t>
  </si>
  <si>
    <t>KSh 968</t>
  </si>
  <si>
    <t>Electric LED UV Mosquito Killer Lamp, Outdoor/Indoor Fly Killer Trap Light -USB</t>
  </si>
  <si>
    <t>KSh 1,570</t>
  </si>
  <si>
    <t>KSh 2,988</t>
  </si>
  <si>
    <t>2PCS/LOT Solar LED Outdoor Intelligent Light Controlled Wall Lamp</t>
  </si>
  <si>
    <t>KSh 790</t>
  </si>
  <si>
    <t>KSh 1,485</t>
  </si>
  <si>
    <t>3PCS Rotary Scraper Thermomix For Kitchen</t>
  </si>
  <si>
    <t>KSh 690</t>
  </si>
  <si>
    <t>Cushion Silicone Butt Cushion Summer Ice Cushion Honeycomb Gel Cushion</t>
  </si>
  <si>
    <t>KSh 1,732</t>
  </si>
  <si>
    <t>KSh 1,799</t>
  </si>
  <si>
    <t>7PCS Silicone Thumb Knife Finger Protector Vegetable Harvesting Knife</t>
  </si>
  <si>
    <t>KSh 230</t>
  </si>
  <si>
    <t>KSh 450</t>
  </si>
  <si>
    <t>Memory Foam Neck Pillow Cover, With Pillow Core - 50*30cm</t>
  </si>
  <si>
    <t>KSh 1,189</t>
  </si>
  <si>
    <t>Bedroom Simple Floor Hanging Clothes Rack Single Pole Hat Rack - White</t>
  </si>
  <si>
    <t>KSh 979</t>
  </si>
  <si>
    <t>KSh 1,920</t>
  </si>
  <si>
    <t>5m Waterproof Spherical LED String Lights Outdoor Ball Chain Lights Party Lighting Decoration Adjustable</t>
  </si>
  <si>
    <t>KSh 1,460</t>
  </si>
  <si>
    <t>KSh 2,290</t>
  </si>
  <si>
    <t>2 Pairs Cowhide Split Leather Work Gloves.32â„‰ Or Above Welding Gloves</t>
  </si>
  <si>
    <t>KSh 1,666</t>
  </si>
  <si>
    <t>Household Pineapple Peeler Peeler</t>
  </si>
  <si>
    <t>KSh 330</t>
  </si>
  <si>
    <t>KSh 176</t>
  </si>
  <si>
    <t>Office Chair Lumbar Back Support Spine Posture Correction Pillow Car Cushion</t>
  </si>
  <si>
    <t>KSh 1,466</t>
  </si>
  <si>
    <t>Cartoon Car Decoration Cute Individuality For Car Home Desk</t>
  </si>
  <si>
    <t>KSh 274</t>
  </si>
  <si>
    <t>KSh 537</t>
  </si>
  <si>
    <t>Outdoor Portable Water Bottle With Medicine Box - 600ML - Black</t>
  </si>
  <si>
    <t>KSh 657</t>
  </si>
  <si>
    <t>KSh 1,288</t>
  </si>
  <si>
    <t>Wall-Mounted Toothbrush Toothpaste Holder With Multiple Slots</t>
  </si>
  <si>
    <t>KSh 1,468</t>
  </si>
  <si>
    <t>Multifunctional Hanging Storage Box Storage Bag (4 Layers)</t>
  </si>
  <si>
    <t>KSh 630</t>
  </si>
  <si>
    <t>KSh 1,100</t>
  </si>
  <si>
    <t>Wall Clock With Hidden Safe Box</t>
  </si>
  <si>
    <t>KSh 850</t>
  </si>
  <si>
    <t>KSh 1,700</t>
  </si>
  <si>
    <t>Portable Wine Table With Folding Round Table</t>
  </si>
  <si>
    <t>KSh 1,300</t>
  </si>
  <si>
    <t>Sewing Machine Needle Threader Stitch Insertion Tool Automatic Quick Sewing</t>
  </si>
  <si>
    <t>KSh 105</t>
  </si>
  <si>
    <t>KSh 200</t>
  </si>
  <si>
    <t>6 Layers Steel Pipe Assembling Dustproof Storage Shoe Cabinet</t>
  </si>
  <si>
    <t>2PCS Ice Silk Square Cushion Cover Pillowcases - 65x65cm</t>
  </si>
  <si>
    <t>KSh 2,400</t>
  </si>
  <si>
    <t>Wall Mount Automatic Toothpaste Dispenser Toothbrush Holder Toothpaste Squeezer</t>
  </si>
  <si>
    <t>KSh 1,526</t>
  </si>
  <si>
    <t>Portable Soap Dispenser Kitchen Detergent Press Box Kitchen Tools</t>
  </si>
  <si>
    <t>KSh 1,462</t>
  </si>
  <si>
    <t>4 Piece Coloured Stainless Steel Kitchenware Set</t>
  </si>
  <si>
    <t>KSh 248</t>
  </si>
  <si>
    <t>KSh 486</t>
  </si>
  <si>
    <t>Metal Wall Clock Silver Dial Crystal Jewelry Round Home Decoration Wall Clock</t>
  </si>
  <si>
    <t>KSh 3,546</t>
  </si>
  <si>
    <t>Baby Early Education Shape And Color Cognitive Training Toys</t>
  </si>
  <si>
    <t>KSh 525</t>
  </si>
  <si>
    <t>KSh 1,029</t>
  </si>
  <si>
    <t>8in1 Screwdriver With LED Light</t>
  </si>
  <si>
    <t>KSh 1,080</t>
  </si>
  <si>
    <t>KSh 1,874</t>
  </si>
  <si>
    <t>Konka Healty Electric Kettle, 24-hour Heat Preservation,1.5L,800W, White</t>
  </si>
  <si>
    <t>KSh 3,640</t>
  </si>
  <si>
    <t>KSh 4,588</t>
  </si>
  <si>
    <t>9pcs Gas Mask, For Painting, Dust, Formaldehyde Grinding, Polishing</t>
  </si>
  <si>
    <t>KSh 1,420</t>
  </si>
  <si>
    <t>KSh 2,420</t>
  </si>
  <si>
    <t>24 Grid Wall-mounted Sundries Organiser Fabric Closet Bag Storage Rack</t>
  </si>
  <si>
    <t>KSh 1,875</t>
  </si>
  <si>
    <t>KSh 1,899</t>
  </si>
  <si>
    <t>1PC Refrigerator Food Seal Pocket Fridge Bags</t>
  </si>
  <si>
    <t>KSh 198</t>
  </si>
  <si>
    <t>KSh 260</t>
  </si>
  <si>
    <t>LED Solar Street Light-fake Camera</t>
  </si>
  <si>
    <t>KSh 1,150</t>
  </si>
  <si>
    <t>KSh 1,737</t>
  </si>
  <si>
    <t>Cartoon Embroidered Mini Towel Bear Cotton Wash Cloth Hand 4pcs</t>
  </si>
  <si>
    <t>KSh 1,810</t>
  </si>
  <si>
    <t>Shower Nozzle Cleaning Unclogging Needle Mini Crevice Small Hole Cleaning Brush</t>
  </si>
  <si>
    <t>KSh 1,658</t>
  </si>
  <si>
    <t>Thickening Multipurpose Non Stick Easy To Clean Heat Resistant Spoon Pad</t>
  </si>
  <si>
    <t>KSh 1,768</t>
  </si>
  <si>
    <t>6 In 1 Bottle Can Opener Multifunctional Easy Opener</t>
  </si>
  <si>
    <t>KSh 553</t>
  </si>
  <si>
    <t>Wall-mounted Sticker Punch-free Plug Fixer</t>
  </si>
  <si>
    <t>2 out of 5</t>
  </si>
  <si>
    <t>Black Simple Water Cup Wine Coaster Anti Slip Absorbent</t>
  </si>
  <si>
    <t>KSh 169</t>
  </si>
  <si>
    <t>KSh 320</t>
  </si>
  <si>
    <t>Rating</t>
  </si>
  <si>
    <t>issue</t>
  </si>
  <si>
    <t xml:space="preserve">action taken </t>
  </si>
  <si>
    <t>reason</t>
  </si>
  <si>
    <t xml:space="preserve">missing reviews and ratings </t>
  </si>
  <si>
    <t>kept blank</t>
  </si>
  <si>
    <t>should not be assumed to be 0</t>
  </si>
  <si>
    <t xml:space="preserve">duplicates </t>
  </si>
  <si>
    <t>Removed duplicate rows</t>
  </si>
  <si>
    <t>Avoid counting the same product more than once</t>
  </si>
  <si>
    <t>Currency symbols/commas</t>
  </si>
  <si>
    <t>Price ranges</t>
  </si>
  <si>
    <t xml:space="preserve">rating format </t>
  </si>
  <si>
    <t>removed out of 5</t>
  </si>
  <si>
    <t>removed</t>
  </si>
  <si>
    <t xml:space="preserve">replaced with midpoint </t>
  </si>
  <si>
    <t>Convert prices to usable numbers</t>
  </si>
  <si>
    <t>Need one numeric value for analysis</t>
  </si>
  <si>
    <t>Convert ratings to numeric values</t>
  </si>
  <si>
    <t xml:space="preserve">discount amount </t>
  </si>
  <si>
    <t xml:space="preserve">rating category </t>
  </si>
  <si>
    <t xml:space="preserve">discount category </t>
  </si>
  <si>
    <t xml:space="preserve">price category </t>
  </si>
  <si>
    <t>total products</t>
  </si>
  <si>
    <t xml:space="preserve">average current price </t>
  </si>
  <si>
    <t>average old price</t>
  </si>
  <si>
    <t xml:space="preserve">average discount </t>
  </si>
  <si>
    <t>average reviews</t>
  </si>
  <si>
    <t xml:space="preserve">average rating </t>
  </si>
  <si>
    <t xml:space="preserve">lowest current price </t>
  </si>
  <si>
    <t xml:space="preserve">highest current price </t>
  </si>
  <si>
    <t xml:space="preserve">lowest old price </t>
  </si>
  <si>
    <t xml:space="preserve">highest old price </t>
  </si>
  <si>
    <t>total reviews</t>
  </si>
  <si>
    <t xml:space="preserve">total discount amount </t>
  </si>
  <si>
    <t xml:space="preserve">price category distribution </t>
  </si>
  <si>
    <t>budget</t>
  </si>
  <si>
    <t>mid range</t>
  </si>
  <si>
    <t>premium</t>
  </si>
  <si>
    <t>high end</t>
  </si>
  <si>
    <t xml:space="preserve">discount category distribution </t>
  </si>
  <si>
    <t>low</t>
  </si>
  <si>
    <t xml:space="preserve">moderate </t>
  </si>
  <si>
    <t>high</t>
  </si>
  <si>
    <t>very high</t>
  </si>
  <si>
    <t xml:space="preserve">rating category distribution </t>
  </si>
  <si>
    <t xml:space="preserve">excellent </t>
  </si>
  <si>
    <t>good</t>
  </si>
  <si>
    <t>average</t>
  </si>
  <si>
    <t>poor</t>
  </si>
  <si>
    <t xml:space="preserve">missing </t>
  </si>
  <si>
    <t>top 5 products by review</t>
  </si>
  <si>
    <t xml:space="preserve">product </t>
  </si>
  <si>
    <t xml:space="preserve">review </t>
  </si>
  <si>
    <t xml:space="preserve">top 5 products by rating </t>
  </si>
  <si>
    <t xml:space="preserve">rating </t>
  </si>
  <si>
    <t xml:space="preserve">discount v/s review </t>
  </si>
  <si>
    <t xml:space="preserve">low </t>
  </si>
  <si>
    <t xml:space="preserve">high </t>
  </si>
  <si>
    <t>average review</t>
  </si>
  <si>
    <t xml:space="preserve">jumia product analysis dashboard </t>
  </si>
  <si>
    <t xml:space="preserve">total products </t>
  </si>
  <si>
    <t xml:space="preserve">current average price </t>
  </si>
  <si>
    <t>average rating</t>
  </si>
  <si>
    <t xml:space="preserve">premium </t>
  </si>
  <si>
    <t>Column1</t>
  </si>
  <si>
    <t>basic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</si>
</sst>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9" fontId="0" fillId="0" borderId="0" xfId="0" applyNumberFormat="1"/>
    <xf numFmtId="3" fontId="0" fillId="0" borderId="0" xfId="0" applyNumberFormat="1"/>
    <xf numFmtId="0" fontId="16" fillId="0" borderId="0" xfId="0" quotePrefix="1" applyFont="1"/>
    <xf numFmtId="0" fontId="16" fillId="0" borderId="0" xfId="0" applyFont="1"/>
    <xf numFmtId="9" fontId="16" fillId="0" borderId="0" xfId="0" applyNumberFormat="1" applyFon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71B30C-2EA7-C345-B2AD-7119FDD570EF}" name="Table2" displayName="Table2" ref="A10:B13" totalsRowShown="0">
  <autoFilter ref="A10:B13" xr:uid="{E771B30C-2EA7-C345-B2AD-7119FDD570EF}"/>
  <tableColumns count="2">
    <tableColumn id="1" xr3:uid="{5DCA6E50-58B5-524F-8904-AFC2AF05EAE2}" name="price category distribution "/>
    <tableColumn id="2" xr3:uid="{306A8F4F-CF14-4A4D-ACA1-3BFDB626322E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AED4A0E-E930-6543-9F65-18BBC9C12A62}" name="Table5" displayName="Table5" ref="A15:B19" totalsRowShown="0">
  <autoFilter ref="A15:B19" xr:uid="{9AED4A0E-E930-6543-9F65-18BBC9C12A62}"/>
  <tableColumns count="2">
    <tableColumn id="1" xr3:uid="{5F2AD3B2-7F65-5F43-8102-5B89A3C2E42D}" name="discount category distribution "/>
    <tableColumn id="2" xr3:uid="{6B423720-60D3-5D40-9E75-357A5F2B522D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 /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6FB9-1B6B-4BF0-BD1E-5A6D887361B7}">
  <dimension ref="A1:F116"/>
  <sheetViews>
    <sheetView topLeftCell="A15" workbookViewId="0">
      <selection activeCell="C40" sqref="C40"/>
    </sheetView>
  </sheetViews>
  <sheetFormatPr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s="1">
        <v>0.38</v>
      </c>
      <c r="E2">
        <v>-2</v>
      </c>
      <c r="F2" t="s">
        <v>9</v>
      </c>
    </row>
    <row r="3" spans="1:6" x14ac:dyDescent="0.2">
      <c r="A3" t="s">
        <v>10</v>
      </c>
      <c r="B3" t="s">
        <v>11</v>
      </c>
      <c r="C3" t="s">
        <v>12</v>
      </c>
      <c r="D3" s="1">
        <v>0.47</v>
      </c>
      <c r="E3">
        <v>-14</v>
      </c>
      <c r="F3" t="s">
        <v>13</v>
      </c>
    </row>
    <row r="4" spans="1:6" x14ac:dyDescent="0.2">
      <c r="A4" t="s">
        <v>14</v>
      </c>
      <c r="B4" t="s">
        <v>15</v>
      </c>
      <c r="C4" t="s">
        <v>16</v>
      </c>
      <c r="D4" s="1">
        <v>0.25</v>
      </c>
      <c r="E4">
        <v>-24</v>
      </c>
      <c r="F4" t="s">
        <v>17</v>
      </c>
    </row>
    <row r="5" spans="1:6" x14ac:dyDescent="0.2">
      <c r="A5" t="s">
        <v>18</v>
      </c>
      <c r="B5" t="s">
        <v>19</v>
      </c>
      <c r="C5" t="s">
        <v>20</v>
      </c>
      <c r="D5" s="1">
        <v>0.37</v>
      </c>
      <c r="E5">
        <v>-7</v>
      </c>
      <c r="F5" t="s">
        <v>21</v>
      </c>
    </row>
    <row r="6" spans="1:6" x14ac:dyDescent="0.2">
      <c r="A6" t="s">
        <v>22</v>
      </c>
      <c r="B6" t="s">
        <v>23</v>
      </c>
      <c r="C6" t="s">
        <v>24</v>
      </c>
      <c r="D6" s="1">
        <v>0.26</v>
      </c>
      <c r="E6">
        <v>-5</v>
      </c>
      <c r="F6" t="s">
        <v>25</v>
      </c>
    </row>
    <row r="7" spans="1:6" x14ac:dyDescent="0.2">
      <c r="A7" t="s">
        <v>26</v>
      </c>
      <c r="B7" t="s">
        <v>27</v>
      </c>
      <c r="C7" t="s">
        <v>28</v>
      </c>
      <c r="D7" s="1">
        <v>0.09</v>
      </c>
      <c r="E7">
        <v>-15</v>
      </c>
      <c r="F7" t="s">
        <v>29</v>
      </c>
    </row>
    <row r="8" spans="1:6" x14ac:dyDescent="0.2">
      <c r="A8" t="s">
        <v>30</v>
      </c>
      <c r="B8" t="s">
        <v>31</v>
      </c>
      <c r="C8" t="s">
        <v>32</v>
      </c>
      <c r="D8" s="1">
        <v>0.24</v>
      </c>
      <c r="E8">
        <v>-55</v>
      </c>
      <c r="F8" t="s">
        <v>17</v>
      </c>
    </row>
    <row r="9" spans="1:6" x14ac:dyDescent="0.2">
      <c r="A9" t="s">
        <v>33</v>
      </c>
      <c r="B9" t="s">
        <v>34</v>
      </c>
      <c r="C9" t="s">
        <v>19</v>
      </c>
      <c r="D9" s="1">
        <v>0.37</v>
      </c>
      <c r="E9">
        <v>-2</v>
      </c>
      <c r="F9" t="s">
        <v>29</v>
      </c>
    </row>
    <row r="10" spans="1:6" x14ac:dyDescent="0.2">
      <c r="A10" t="s">
        <v>35</v>
      </c>
      <c r="B10" t="s">
        <v>36</v>
      </c>
      <c r="C10" t="s">
        <v>37</v>
      </c>
      <c r="D10" s="1">
        <v>0.55000000000000004</v>
      </c>
      <c r="E10">
        <v>-5</v>
      </c>
      <c r="F10" t="s">
        <v>25</v>
      </c>
    </row>
    <row r="11" spans="1:6" x14ac:dyDescent="0.2">
      <c r="A11" t="s">
        <v>38</v>
      </c>
      <c r="B11" t="s">
        <v>39</v>
      </c>
      <c r="C11" t="s">
        <v>40</v>
      </c>
      <c r="D11" s="1">
        <v>0.45</v>
      </c>
      <c r="E11">
        <v>-5</v>
      </c>
      <c r="F11" t="s">
        <v>41</v>
      </c>
    </row>
    <row r="12" spans="1:6" x14ac:dyDescent="0.2">
      <c r="A12" t="s">
        <v>42</v>
      </c>
      <c r="B12" t="s">
        <v>43</v>
      </c>
      <c r="C12" t="s">
        <v>12</v>
      </c>
      <c r="D12" s="1">
        <v>0.2</v>
      </c>
      <c r="E12">
        <v>-12</v>
      </c>
      <c r="F12" t="s">
        <v>13</v>
      </c>
    </row>
    <row r="13" spans="1:6" x14ac:dyDescent="0.2">
      <c r="A13" t="s">
        <v>44</v>
      </c>
      <c r="B13" t="s">
        <v>45</v>
      </c>
      <c r="C13" t="s">
        <v>46</v>
      </c>
      <c r="D13" s="1">
        <v>0.34</v>
      </c>
      <c r="E13">
        <v>-39</v>
      </c>
      <c r="F13" t="s">
        <v>21</v>
      </c>
    </row>
    <row r="14" spans="1:6" x14ac:dyDescent="0.2">
      <c r="A14" t="s">
        <v>47</v>
      </c>
      <c r="B14" t="s">
        <v>48</v>
      </c>
      <c r="C14" t="s">
        <v>49</v>
      </c>
      <c r="D14" s="1">
        <v>0.47</v>
      </c>
      <c r="E14">
        <v>-12</v>
      </c>
      <c r="F14" t="s">
        <v>25</v>
      </c>
    </row>
    <row r="15" spans="1:6" x14ac:dyDescent="0.2">
      <c r="A15" t="s">
        <v>50</v>
      </c>
      <c r="B15" t="s">
        <v>51</v>
      </c>
      <c r="C15" t="s">
        <v>52</v>
      </c>
      <c r="D15" s="1">
        <v>0.42</v>
      </c>
      <c r="E15">
        <v>-6</v>
      </c>
      <c r="F15" t="s">
        <v>9</v>
      </c>
    </row>
    <row r="16" spans="1:6" x14ac:dyDescent="0.2">
      <c r="A16" t="s">
        <v>53</v>
      </c>
      <c r="B16" t="s">
        <v>54</v>
      </c>
      <c r="C16" t="s">
        <v>20</v>
      </c>
      <c r="D16" s="1">
        <v>0.33</v>
      </c>
      <c r="E16">
        <v>-9</v>
      </c>
      <c r="F16" t="s">
        <v>55</v>
      </c>
    </row>
    <row r="17" spans="1:6" x14ac:dyDescent="0.2">
      <c r="A17" t="s">
        <v>56</v>
      </c>
      <c r="B17" t="s">
        <v>57</v>
      </c>
      <c r="C17" t="s">
        <v>58</v>
      </c>
      <c r="D17" s="1">
        <v>0.51</v>
      </c>
      <c r="E17">
        <v>-2</v>
      </c>
      <c r="F17" t="s">
        <v>59</v>
      </c>
    </row>
    <row r="18" spans="1:6" x14ac:dyDescent="0.2">
      <c r="A18" t="s">
        <v>60</v>
      </c>
      <c r="B18" t="s">
        <v>61</v>
      </c>
      <c r="C18" t="s">
        <v>62</v>
      </c>
      <c r="D18" s="1">
        <v>0.46</v>
      </c>
      <c r="E18">
        <v>-2</v>
      </c>
      <c r="F18" t="s">
        <v>59</v>
      </c>
    </row>
    <row r="19" spans="1:6" x14ac:dyDescent="0.2">
      <c r="A19" t="s">
        <v>63</v>
      </c>
      <c r="B19" t="s">
        <v>64</v>
      </c>
      <c r="C19" t="s">
        <v>65</v>
      </c>
      <c r="D19" s="1">
        <v>0.49</v>
      </c>
      <c r="E19">
        <v>-3</v>
      </c>
      <c r="F19" t="s">
        <v>59</v>
      </c>
    </row>
    <row r="20" spans="1:6" x14ac:dyDescent="0.2">
      <c r="A20" t="s">
        <v>66</v>
      </c>
      <c r="B20" t="s">
        <v>27</v>
      </c>
      <c r="C20" t="s">
        <v>67</v>
      </c>
      <c r="D20" s="1">
        <v>0.19</v>
      </c>
      <c r="E20">
        <v>-5</v>
      </c>
      <c r="F20" t="s">
        <v>17</v>
      </c>
    </row>
    <row r="21" spans="1:6" x14ac:dyDescent="0.2">
      <c r="A21" t="s">
        <v>68</v>
      </c>
      <c r="B21" t="s">
        <v>69</v>
      </c>
      <c r="C21" t="s">
        <v>70</v>
      </c>
      <c r="D21" s="1">
        <v>0.49</v>
      </c>
      <c r="E21">
        <v>-44</v>
      </c>
      <c r="F21" t="s">
        <v>17</v>
      </c>
    </row>
    <row r="22" spans="1:6" x14ac:dyDescent="0.2">
      <c r="A22" t="s">
        <v>71</v>
      </c>
      <c r="B22" t="s">
        <v>72</v>
      </c>
      <c r="C22" t="s">
        <v>73</v>
      </c>
      <c r="D22" s="1">
        <v>0.53</v>
      </c>
      <c r="E22">
        <v>-13</v>
      </c>
      <c r="F22" t="s">
        <v>74</v>
      </c>
    </row>
    <row r="23" spans="1:6" x14ac:dyDescent="0.2">
      <c r="A23" t="s">
        <v>75</v>
      </c>
      <c r="B23" t="s">
        <v>76</v>
      </c>
      <c r="C23" t="s">
        <v>77</v>
      </c>
      <c r="D23" s="1">
        <v>0.42</v>
      </c>
    </row>
    <row r="24" spans="1:6" x14ac:dyDescent="0.2">
      <c r="A24" t="s">
        <v>78</v>
      </c>
      <c r="B24" t="s">
        <v>79</v>
      </c>
      <c r="C24" t="s">
        <v>80</v>
      </c>
      <c r="D24" s="1">
        <v>0.35</v>
      </c>
      <c r="E24">
        <v>-6</v>
      </c>
      <c r="F24" t="s">
        <v>29</v>
      </c>
    </row>
    <row r="25" spans="1:6" x14ac:dyDescent="0.2">
      <c r="A25" t="s">
        <v>81</v>
      </c>
      <c r="B25" t="s">
        <v>82</v>
      </c>
      <c r="C25" t="s">
        <v>83</v>
      </c>
      <c r="D25" s="1">
        <v>0.23</v>
      </c>
      <c r="E25">
        <v>-14</v>
      </c>
      <c r="F25" t="s">
        <v>84</v>
      </c>
    </row>
    <row r="26" spans="1:6" x14ac:dyDescent="0.2">
      <c r="A26" t="s">
        <v>85</v>
      </c>
      <c r="B26" t="s">
        <v>86</v>
      </c>
      <c r="C26" t="s">
        <v>87</v>
      </c>
      <c r="D26" s="1">
        <v>0.54</v>
      </c>
      <c r="E26">
        <v>-7</v>
      </c>
      <c r="F26" t="s">
        <v>88</v>
      </c>
    </row>
    <row r="27" spans="1:6" x14ac:dyDescent="0.2">
      <c r="A27" t="s">
        <v>89</v>
      </c>
      <c r="B27" t="s">
        <v>90</v>
      </c>
      <c r="C27" t="s">
        <v>91</v>
      </c>
      <c r="D27" s="1">
        <v>0.35</v>
      </c>
      <c r="E27">
        <v>-49</v>
      </c>
      <c r="F27" t="s">
        <v>17</v>
      </c>
    </row>
    <row r="28" spans="1:6" x14ac:dyDescent="0.2">
      <c r="A28" t="s">
        <v>92</v>
      </c>
      <c r="B28" t="s">
        <v>93</v>
      </c>
      <c r="C28" t="s">
        <v>94</v>
      </c>
      <c r="D28" s="1">
        <v>0.18</v>
      </c>
      <c r="E28">
        <v>-12</v>
      </c>
      <c r="F28" t="s">
        <v>41</v>
      </c>
    </row>
    <row r="29" spans="1:6" x14ac:dyDescent="0.2">
      <c r="A29" t="s">
        <v>95</v>
      </c>
      <c r="B29" t="s">
        <v>80</v>
      </c>
      <c r="C29" t="s">
        <v>96</v>
      </c>
      <c r="D29" s="1">
        <v>0.32</v>
      </c>
      <c r="E29">
        <v>-13</v>
      </c>
      <c r="F29" t="s">
        <v>41</v>
      </c>
    </row>
    <row r="30" spans="1:6" x14ac:dyDescent="0.2">
      <c r="A30" t="s">
        <v>97</v>
      </c>
      <c r="B30" t="s">
        <v>98</v>
      </c>
      <c r="C30" t="s">
        <v>20</v>
      </c>
      <c r="D30" s="1">
        <v>0.3</v>
      </c>
      <c r="E30">
        <v>-20</v>
      </c>
      <c r="F30" t="s">
        <v>13</v>
      </c>
    </row>
    <row r="31" spans="1:6" x14ac:dyDescent="0.2">
      <c r="A31" t="s">
        <v>99</v>
      </c>
      <c r="B31" t="s">
        <v>100</v>
      </c>
      <c r="C31" t="s">
        <v>101</v>
      </c>
      <c r="D31" s="1">
        <v>0.46</v>
      </c>
    </row>
    <row r="32" spans="1:6" x14ac:dyDescent="0.2">
      <c r="A32" t="s">
        <v>102</v>
      </c>
      <c r="B32" t="s">
        <v>103</v>
      </c>
      <c r="C32" t="s">
        <v>104</v>
      </c>
      <c r="D32" s="1">
        <v>0.52</v>
      </c>
      <c r="E32">
        <v>-9</v>
      </c>
      <c r="F32" t="s">
        <v>88</v>
      </c>
    </row>
    <row r="33" spans="1:6" x14ac:dyDescent="0.2">
      <c r="A33" t="s">
        <v>105</v>
      </c>
      <c r="B33" t="s">
        <v>106</v>
      </c>
      <c r="C33" t="s">
        <v>107</v>
      </c>
      <c r="D33" s="1">
        <v>0.34</v>
      </c>
      <c r="E33">
        <v>-12</v>
      </c>
      <c r="F33" t="s">
        <v>21</v>
      </c>
    </row>
    <row r="34" spans="1:6" x14ac:dyDescent="0.2">
      <c r="A34" t="s">
        <v>108</v>
      </c>
      <c r="B34" t="s">
        <v>109</v>
      </c>
      <c r="C34" t="s">
        <v>110</v>
      </c>
      <c r="D34" s="1">
        <v>0.48</v>
      </c>
      <c r="E34">
        <v>-9</v>
      </c>
      <c r="F34" t="s">
        <v>88</v>
      </c>
    </row>
    <row r="35" spans="1:6" x14ac:dyDescent="0.2">
      <c r="A35" t="s">
        <v>111</v>
      </c>
      <c r="B35" t="s">
        <v>112</v>
      </c>
      <c r="C35" t="s">
        <v>113</v>
      </c>
      <c r="D35" s="1">
        <v>0.27</v>
      </c>
      <c r="E35">
        <v>-20</v>
      </c>
      <c r="F35" t="s">
        <v>21</v>
      </c>
    </row>
    <row r="36" spans="1:6" x14ac:dyDescent="0.2">
      <c r="A36" t="s">
        <v>114</v>
      </c>
      <c r="B36" t="s">
        <v>115</v>
      </c>
      <c r="C36" t="s">
        <v>116</v>
      </c>
      <c r="D36" s="1">
        <v>0.27</v>
      </c>
      <c r="E36">
        <v>-32</v>
      </c>
      <c r="F36" t="s">
        <v>9</v>
      </c>
    </row>
    <row r="37" spans="1:6" x14ac:dyDescent="0.2">
      <c r="A37" t="s">
        <v>117</v>
      </c>
      <c r="B37" t="s">
        <v>118</v>
      </c>
      <c r="C37" t="s">
        <v>119</v>
      </c>
      <c r="D37" s="1">
        <v>0.4</v>
      </c>
      <c r="E37">
        <v>-1</v>
      </c>
      <c r="F37" t="s">
        <v>59</v>
      </c>
    </row>
    <row r="38" spans="1:6" x14ac:dyDescent="0.2">
      <c r="A38" t="s">
        <v>120</v>
      </c>
      <c r="B38" t="s">
        <v>121</v>
      </c>
      <c r="C38" t="s">
        <v>62</v>
      </c>
      <c r="D38" s="1">
        <v>0.53</v>
      </c>
      <c r="E38">
        <v>-2</v>
      </c>
      <c r="F38" t="s">
        <v>59</v>
      </c>
    </row>
    <row r="39" spans="1:6" x14ac:dyDescent="0.2">
      <c r="A39" t="s">
        <v>122</v>
      </c>
      <c r="B39" t="s">
        <v>123</v>
      </c>
      <c r="C39" t="s">
        <v>124</v>
      </c>
      <c r="D39" s="1">
        <v>0.41</v>
      </c>
      <c r="E39">
        <v>-36</v>
      </c>
      <c r="F39" t="s">
        <v>88</v>
      </c>
    </row>
    <row r="40" spans="1:6" x14ac:dyDescent="0.2">
      <c r="A40" t="s">
        <v>125</v>
      </c>
      <c r="B40" t="s">
        <v>126</v>
      </c>
      <c r="C40" t="s">
        <v>127</v>
      </c>
      <c r="D40" s="1">
        <v>0.38</v>
      </c>
      <c r="E40">
        <v>-2</v>
      </c>
      <c r="F40" t="s">
        <v>9</v>
      </c>
    </row>
    <row r="41" spans="1:6" x14ac:dyDescent="0.2">
      <c r="A41" t="s">
        <v>128</v>
      </c>
      <c r="B41" t="s">
        <v>129</v>
      </c>
      <c r="C41" t="s">
        <v>130</v>
      </c>
      <c r="D41" s="1">
        <v>0.38</v>
      </c>
    </row>
    <row r="42" spans="1:6" x14ac:dyDescent="0.2">
      <c r="A42" t="s">
        <v>131</v>
      </c>
      <c r="B42" t="s">
        <v>132</v>
      </c>
      <c r="C42" t="s">
        <v>133</v>
      </c>
      <c r="D42" s="1">
        <v>0.49</v>
      </c>
    </row>
    <row r="43" spans="1:6" x14ac:dyDescent="0.2">
      <c r="A43" t="s">
        <v>134</v>
      </c>
      <c r="B43" t="s">
        <v>135</v>
      </c>
      <c r="C43" t="s">
        <v>136</v>
      </c>
      <c r="D43" s="1">
        <v>0.5</v>
      </c>
    </row>
    <row r="44" spans="1:6" x14ac:dyDescent="0.2">
      <c r="A44" t="s">
        <v>137</v>
      </c>
      <c r="B44" t="s">
        <v>138</v>
      </c>
      <c r="C44" t="s">
        <v>139</v>
      </c>
      <c r="D44" s="1">
        <v>0.42</v>
      </c>
    </row>
    <row r="45" spans="1:6" x14ac:dyDescent="0.2">
      <c r="A45" t="s">
        <v>137</v>
      </c>
      <c r="B45" t="s">
        <v>138</v>
      </c>
      <c r="C45" t="s">
        <v>139</v>
      </c>
      <c r="D45" s="1">
        <v>0.42</v>
      </c>
    </row>
    <row r="46" spans="1:6" x14ac:dyDescent="0.2">
      <c r="A46" t="s">
        <v>140</v>
      </c>
      <c r="B46" t="s">
        <v>141</v>
      </c>
      <c r="C46" t="s">
        <v>142</v>
      </c>
      <c r="D46" s="1">
        <v>0.02</v>
      </c>
    </row>
    <row r="47" spans="1:6" x14ac:dyDescent="0.2">
      <c r="A47" t="s">
        <v>143</v>
      </c>
      <c r="B47" t="s">
        <v>12</v>
      </c>
      <c r="C47" t="s">
        <v>144</v>
      </c>
      <c r="D47" s="1">
        <v>0.5</v>
      </c>
    </row>
    <row r="48" spans="1:6" x14ac:dyDescent="0.2">
      <c r="A48" t="s">
        <v>145</v>
      </c>
      <c r="B48" t="s">
        <v>146</v>
      </c>
      <c r="C48" t="s">
        <v>147</v>
      </c>
      <c r="D48" s="1">
        <v>0.33</v>
      </c>
    </row>
    <row r="49" spans="1:6" x14ac:dyDescent="0.2">
      <c r="A49" t="s">
        <v>148</v>
      </c>
      <c r="B49" t="s">
        <v>149</v>
      </c>
      <c r="C49" t="s">
        <v>150</v>
      </c>
      <c r="D49" s="1">
        <v>0.49</v>
      </c>
    </row>
    <row r="50" spans="1:6" x14ac:dyDescent="0.2">
      <c r="A50" t="s">
        <v>151</v>
      </c>
      <c r="B50" t="s">
        <v>152</v>
      </c>
      <c r="C50" t="s">
        <v>153</v>
      </c>
      <c r="D50" s="1">
        <v>0.38</v>
      </c>
    </row>
    <row r="51" spans="1:6" x14ac:dyDescent="0.2">
      <c r="A51" t="s">
        <v>154</v>
      </c>
      <c r="B51" t="s">
        <v>155</v>
      </c>
      <c r="C51" t="s">
        <v>156</v>
      </c>
      <c r="D51" s="1">
        <v>0.61</v>
      </c>
    </row>
    <row r="52" spans="1:6" x14ac:dyDescent="0.2">
      <c r="A52" t="s">
        <v>157</v>
      </c>
      <c r="B52" t="s">
        <v>158</v>
      </c>
      <c r="C52" t="s">
        <v>159</v>
      </c>
      <c r="D52" s="1">
        <v>0.5</v>
      </c>
    </row>
    <row r="53" spans="1:6" x14ac:dyDescent="0.2">
      <c r="A53" t="s">
        <v>160</v>
      </c>
      <c r="B53" t="s">
        <v>161</v>
      </c>
      <c r="C53" t="s">
        <v>162</v>
      </c>
      <c r="D53" s="1">
        <v>0.02</v>
      </c>
    </row>
    <row r="54" spans="1:6" x14ac:dyDescent="0.2">
      <c r="A54" t="s">
        <v>163</v>
      </c>
      <c r="B54" t="s">
        <v>158</v>
      </c>
      <c r="C54" t="s">
        <v>164</v>
      </c>
      <c r="D54" s="1">
        <v>0.22</v>
      </c>
    </row>
    <row r="55" spans="1:6" x14ac:dyDescent="0.2">
      <c r="A55" t="s">
        <v>165</v>
      </c>
      <c r="B55" t="s">
        <v>166</v>
      </c>
      <c r="C55" t="s">
        <v>167</v>
      </c>
      <c r="D55" s="1">
        <v>0.03</v>
      </c>
    </row>
    <row r="56" spans="1:6" x14ac:dyDescent="0.2">
      <c r="A56" t="s">
        <v>168</v>
      </c>
      <c r="B56" t="s">
        <v>43</v>
      </c>
      <c r="C56" t="s">
        <v>169</v>
      </c>
      <c r="D56" s="1">
        <v>0.41</v>
      </c>
    </row>
    <row r="57" spans="1:6" x14ac:dyDescent="0.2">
      <c r="A57" t="s">
        <v>170</v>
      </c>
      <c r="B57" t="s">
        <v>171</v>
      </c>
      <c r="C57" t="s">
        <v>172</v>
      </c>
      <c r="D57" s="1">
        <v>0.45</v>
      </c>
    </row>
    <row r="58" spans="1:6" x14ac:dyDescent="0.2">
      <c r="A58" t="s">
        <v>173</v>
      </c>
      <c r="B58" t="s">
        <v>174</v>
      </c>
      <c r="C58" t="s">
        <v>169</v>
      </c>
      <c r="D58" s="1">
        <v>0.48</v>
      </c>
    </row>
    <row r="59" spans="1:6" x14ac:dyDescent="0.2">
      <c r="A59" t="s">
        <v>175</v>
      </c>
      <c r="B59" t="s">
        <v>43</v>
      </c>
      <c r="C59" t="s">
        <v>176</v>
      </c>
      <c r="D59" s="1">
        <v>0.49</v>
      </c>
    </row>
    <row r="60" spans="1:6" x14ac:dyDescent="0.2">
      <c r="A60" t="s">
        <v>177</v>
      </c>
      <c r="B60" t="s">
        <v>178</v>
      </c>
      <c r="C60" t="s">
        <v>179</v>
      </c>
      <c r="D60" s="1">
        <v>0.27</v>
      </c>
    </row>
    <row r="61" spans="1:6" x14ac:dyDescent="0.2">
      <c r="A61" t="s">
        <v>170</v>
      </c>
      <c r="B61" t="s">
        <v>180</v>
      </c>
      <c r="C61" t="s">
        <v>181</v>
      </c>
      <c r="D61" s="1">
        <v>0.55000000000000004</v>
      </c>
    </row>
    <row r="62" spans="1:6" x14ac:dyDescent="0.2">
      <c r="A62" t="s">
        <v>182</v>
      </c>
      <c r="B62" t="s">
        <v>183</v>
      </c>
      <c r="C62" t="s">
        <v>184</v>
      </c>
      <c r="D62" s="1">
        <v>0.13</v>
      </c>
      <c r="E62">
        <v>-6</v>
      </c>
      <c r="F62" t="s">
        <v>185</v>
      </c>
    </row>
    <row r="63" spans="1:6" x14ac:dyDescent="0.2">
      <c r="A63" t="s">
        <v>186</v>
      </c>
      <c r="B63" t="s">
        <v>187</v>
      </c>
      <c r="C63" t="s">
        <v>188</v>
      </c>
      <c r="D63" s="1">
        <v>0.54</v>
      </c>
      <c r="E63">
        <v>-10</v>
      </c>
      <c r="F63" t="s">
        <v>189</v>
      </c>
    </row>
    <row r="64" spans="1:6" x14ac:dyDescent="0.2">
      <c r="A64" t="s">
        <v>190</v>
      </c>
      <c r="B64" t="s">
        <v>191</v>
      </c>
      <c r="C64" t="s">
        <v>192</v>
      </c>
      <c r="D64" s="1">
        <v>0.55000000000000004</v>
      </c>
      <c r="E64">
        <v>-13</v>
      </c>
      <c r="F64" t="s">
        <v>193</v>
      </c>
    </row>
    <row r="65" spans="1:6" x14ac:dyDescent="0.2">
      <c r="A65" t="s">
        <v>194</v>
      </c>
      <c r="B65" t="s">
        <v>195</v>
      </c>
      <c r="C65" t="s">
        <v>196</v>
      </c>
      <c r="D65" s="1">
        <v>0.49</v>
      </c>
      <c r="E65">
        <v>-69</v>
      </c>
      <c r="F65" t="s">
        <v>197</v>
      </c>
    </row>
    <row r="66" spans="1:6" x14ac:dyDescent="0.2">
      <c r="A66" t="s">
        <v>198</v>
      </c>
      <c r="B66" t="s">
        <v>199</v>
      </c>
      <c r="C66" t="s">
        <v>200</v>
      </c>
      <c r="D66" s="1">
        <v>0.52</v>
      </c>
      <c r="E66">
        <v>-15</v>
      </c>
      <c r="F66" t="s">
        <v>201</v>
      </c>
    </row>
    <row r="67" spans="1:6" x14ac:dyDescent="0.2">
      <c r="A67" t="s">
        <v>202</v>
      </c>
      <c r="B67" t="s">
        <v>203</v>
      </c>
      <c r="C67" t="s">
        <v>204</v>
      </c>
      <c r="D67" s="1">
        <v>0.22</v>
      </c>
      <c r="E67">
        <v>-16</v>
      </c>
      <c r="F67" t="s">
        <v>205</v>
      </c>
    </row>
    <row r="68" spans="1:6" x14ac:dyDescent="0.2">
      <c r="A68" t="s">
        <v>206</v>
      </c>
      <c r="B68" t="s">
        <v>45</v>
      </c>
      <c r="C68" t="s">
        <v>207</v>
      </c>
      <c r="D68" s="1">
        <v>0.45</v>
      </c>
      <c r="E68">
        <v>-6</v>
      </c>
      <c r="F68" t="s">
        <v>208</v>
      </c>
    </row>
    <row r="69" spans="1:6" x14ac:dyDescent="0.2">
      <c r="A69" t="s">
        <v>209</v>
      </c>
      <c r="B69" t="s">
        <v>210</v>
      </c>
      <c r="C69" t="s">
        <v>144</v>
      </c>
      <c r="D69" s="1">
        <v>0.5</v>
      </c>
      <c r="E69">
        <v>-7</v>
      </c>
      <c r="F69" t="s">
        <v>211</v>
      </c>
    </row>
    <row r="70" spans="1:6" x14ac:dyDescent="0.2">
      <c r="A70" t="s">
        <v>212</v>
      </c>
      <c r="B70" t="s">
        <v>213</v>
      </c>
      <c r="C70" t="s">
        <v>214</v>
      </c>
      <c r="D70" s="1">
        <v>0.39</v>
      </c>
      <c r="E70">
        <v>-5</v>
      </c>
      <c r="F70" t="s">
        <v>189</v>
      </c>
    </row>
    <row r="71" spans="1:6" x14ac:dyDescent="0.2">
      <c r="A71" t="s">
        <v>215</v>
      </c>
      <c r="B71" t="s">
        <v>104</v>
      </c>
      <c r="C71" t="s">
        <v>216</v>
      </c>
      <c r="D71" s="1">
        <v>0.45</v>
      </c>
      <c r="E71">
        <v>-17</v>
      </c>
      <c r="F71" t="s">
        <v>217</v>
      </c>
    </row>
    <row r="72" spans="1:6" x14ac:dyDescent="0.2">
      <c r="A72" t="s">
        <v>218</v>
      </c>
      <c r="B72" t="s">
        <v>219</v>
      </c>
      <c r="C72" t="s">
        <v>220</v>
      </c>
      <c r="D72" s="1">
        <v>0.28999999999999998</v>
      </c>
      <c r="E72">
        <v>-5</v>
      </c>
      <c r="F72" t="s">
        <v>189</v>
      </c>
    </row>
    <row r="73" spans="1:6" x14ac:dyDescent="0.2">
      <c r="A73" t="s">
        <v>221</v>
      </c>
      <c r="B73" t="s">
        <v>222</v>
      </c>
      <c r="C73" t="s">
        <v>223</v>
      </c>
      <c r="D73" s="1">
        <v>0.43</v>
      </c>
      <c r="E73">
        <v>-6</v>
      </c>
      <c r="F73" t="s">
        <v>211</v>
      </c>
    </row>
    <row r="74" spans="1:6" x14ac:dyDescent="0.2">
      <c r="A74" t="s">
        <v>224</v>
      </c>
      <c r="B74" t="s">
        <v>225</v>
      </c>
      <c r="C74" t="s">
        <v>226</v>
      </c>
      <c r="D74" s="1">
        <v>0.43</v>
      </c>
      <c r="E74">
        <v>-5</v>
      </c>
      <c r="F74" t="s">
        <v>189</v>
      </c>
    </row>
    <row r="75" spans="1:6" x14ac:dyDescent="0.2">
      <c r="A75" t="s">
        <v>227</v>
      </c>
      <c r="B75" t="s">
        <v>228</v>
      </c>
      <c r="C75" t="s">
        <v>207</v>
      </c>
      <c r="D75" s="1">
        <v>0.47</v>
      </c>
      <c r="E75">
        <v>-6</v>
      </c>
      <c r="F75" t="s">
        <v>208</v>
      </c>
    </row>
    <row r="76" spans="1:6" x14ac:dyDescent="0.2">
      <c r="A76" t="s">
        <v>229</v>
      </c>
      <c r="B76" t="s">
        <v>230</v>
      </c>
      <c r="C76" t="s">
        <v>231</v>
      </c>
      <c r="D76" s="1">
        <v>0.47</v>
      </c>
      <c r="E76">
        <v>-7</v>
      </c>
      <c r="F76" t="s">
        <v>193</v>
      </c>
    </row>
    <row r="77" spans="1:6" x14ac:dyDescent="0.2">
      <c r="A77" t="s">
        <v>232</v>
      </c>
      <c r="B77" t="s">
        <v>233</v>
      </c>
      <c r="C77" t="s">
        <v>234</v>
      </c>
      <c r="D77" s="1">
        <v>0.47</v>
      </c>
    </row>
    <row r="78" spans="1:6" x14ac:dyDescent="0.2">
      <c r="A78" t="s">
        <v>235</v>
      </c>
      <c r="B78" t="s">
        <v>236</v>
      </c>
      <c r="C78" t="s">
        <v>152</v>
      </c>
      <c r="D78" s="1">
        <v>0.43</v>
      </c>
    </row>
    <row r="79" spans="1:6" x14ac:dyDescent="0.2">
      <c r="A79" t="s">
        <v>237</v>
      </c>
      <c r="B79" t="s">
        <v>238</v>
      </c>
      <c r="C79" t="s">
        <v>239</v>
      </c>
      <c r="D79" s="1">
        <v>0.04</v>
      </c>
    </row>
    <row r="80" spans="1:6" x14ac:dyDescent="0.2">
      <c r="A80" t="s">
        <v>240</v>
      </c>
      <c r="B80" t="s">
        <v>241</v>
      </c>
      <c r="C80" t="s">
        <v>242</v>
      </c>
      <c r="D80" s="1">
        <v>0.49</v>
      </c>
    </row>
    <row r="81" spans="1:6" x14ac:dyDescent="0.2">
      <c r="A81" t="s">
        <v>243</v>
      </c>
      <c r="B81" t="s">
        <v>244</v>
      </c>
      <c r="C81" t="s">
        <v>15</v>
      </c>
      <c r="D81" s="1">
        <v>0.46</v>
      </c>
      <c r="E81">
        <v>-1</v>
      </c>
      <c r="F81" t="s">
        <v>189</v>
      </c>
    </row>
    <row r="82" spans="1:6" x14ac:dyDescent="0.2">
      <c r="A82" t="s">
        <v>245</v>
      </c>
      <c r="B82" t="s">
        <v>246</v>
      </c>
      <c r="C82" t="s">
        <v>247</v>
      </c>
      <c r="D82" s="1">
        <v>0.49</v>
      </c>
      <c r="E82">
        <v>-1</v>
      </c>
      <c r="F82" t="s">
        <v>59</v>
      </c>
    </row>
    <row r="83" spans="1:6" x14ac:dyDescent="0.2">
      <c r="A83" t="s">
        <v>248</v>
      </c>
      <c r="B83" t="s">
        <v>249</v>
      </c>
      <c r="C83" t="s">
        <v>250</v>
      </c>
      <c r="D83" s="1">
        <v>0.36</v>
      </c>
    </row>
    <row r="84" spans="1:6" x14ac:dyDescent="0.2">
      <c r="A84" t="s">
        <v>251</v>
      </c>
      <c r="B84" t="s">
        <v>252</v>
      </c>
      <c r="C84" t="s">
        <v>162</v>
      </c>
      <c r="D84" s="1">
        <v>0.02</v>
      </c>
    </row>
    <row r="85" spans="1:6" x14ac:dyDescent="0.2">
      <c r="A85" t="s">
        <v>253</v>
      </c>
      <c r="B85" t="s">
        <v>254</v>
      </c>
      <c r="C85" t="s">
        <v>91</v>
      </c>
      <c r="D85" s="1">
        <v>0.49</v>
      </c>
      <c r="E85">
        <v>-1</v>
      </c>
      <c r="F85" t="s">
        <v>29</v>
      </c>
    </row>
    <row r="86" spans="1:6" x14ac:dyDescent="0.2">
      <c r="A86" t="s">
        <v>137</v>
      </c>
      <c r="B86" t="s">
        <v>138</v>
      </c>
      <c r="C86" t="s">
        <v>139</v>
      </c>
      <c r="D86" s="1">
        <v>0.42</v>
      </c>
    </row>
    <row r="87" spans="1:6" x14ac:dyDescent="0.2">
      <c r="A87" t="s">
        <v>154</v>
      </c>
      <c r="B87" t="s">
        <v>255</v>
      </c>
      <c r="C87" t="s">
        <v>222</v>
      </c>
      <c r="D87" s="1">
        <v>0.49</v>
      </c>
    </row>
    <row r="88" spans="1:6" x14ac:dyDescent="0.2">
      <c r="A88" t="s">
        <v>256</v>
      </c>
      <c r="B88" t="s">
        <v>257</v>
      </c>
      <c r="C88" t="s">
        <v>162</v>
      </c>
      <c r="D88" s="1">
        <v>0.14000000000000001</v>
      </c>
    </row>
    <row r="89" spans="1:6" x14ac:dyDescent="0.2">
      <c r="A89" t="s">
        <v>258</v>
      </c>
      <c r="B89" t="s">
        <v>259</v>
      </c>
      <c r="C89" t="s">
        <v>260</v>
      </c>
      <c r="D89" s="1">
        <v>0.49</v>
      </c>
    </row>
    <row r="90" spans="1:6" x14ac:dyDescent="0.2">
      <c r="A90" t="s">
        <v>261</v>
      </c>
      <c r="B90" t="s">
        <v>43</v>
      </c>
      <c r="C90" t="s">
        <v>172</v>
      </c>
      <c r="D90" s="1">
        <v>0.11</v>
      </c>
    </row>
    <row r="91" spans="1:6" x14ac:dyDescent="0.2">
      <c r="A91" t="s">
        <v>175</v>
      </c>
      <c r="B91" t="s">
        <v>262</v>
      </c>
      <c r="C91" t="s">
        <v>263</v>
      </c>
      <c r="D91" s="1">
        <v>0.49</v>
      </c>
    </row>
    <row r="92" spans="1:6" x14ac:dyDescent="0.2">
      <c r="A92" t="s">
        <v>264</v>
      </c>
      <c r="B92" t="s">
        <v>265</v>
      </c>
      <c r="C92" t="s">
        <v>162</v>
      </c>
      <c r="D92" s="1">
        <v>0.14000000000000001</v>
      </c>
    </row>
    <row r="93" spans="1:6" x14ac:dyDescent="0.2">
      <c r="A93" t="s">
        <v>266</v>
      </c>
      <c r="B93" t="s">
        <v>267</v>
      </c>
      <c r="C93" t="s">
        <v>268</v>
      </c>
      <c r="D93" s="1">
        <v>0.43</v>
      </c>
    </row>
    <row r="94" spans="1:6" x14ac:dyDescent="0.2">
      <c r="A94" t="s">
        <v>269</v>
      </c>
      <c r="B94" t="s">
        <v>270</v>
      </c>
      <c r="C94" t="s">
        <v>271</v>
      </c>
      <c r="D94" s="1">
        <v>0.5</v>
      </c>
    </row>
    <row r="95" spans="1:6" x14ac:dyDescent="0.2">
      <c r="A95" t="s">
        <v>272</v>
      </c>
      <c r="B95" t="s">
        <v>273</v>
      </c>
      <c r="C95" t="s">
        <v>184</v>
      </c>
      <c r="D95" s="1">
        <v>0.48</v>
      </c>
    </row>
    <row r="96" spans="1:6" x14ac:dyDescent="0.2">
      <c r="A96" t="s">
        <v>274</v>
      </c>
      <c r="B96" t="s">
        <v>275</v>
      </c>
      <c r="C96" t="s">
        <v>276</v>
      </c>
      <c r="D96" s="1">
        <v>0.48</v>
      </c>
    </row>
    <row r="97" spans="1:6" x14ac:dyDescent="0.2">
      <c r="A97" t="s">
        <v>277</v>
      </c>
      <c r="B97" t="s">
        <v>226</v>
      </c>
      <c r="C97" t="s">
        <v>162</v>
      </c>
      <c r="D97" s="1">
        <v>0.47</v>
      </c>
    </row>
    <row r="98" spans="1:6" x14ac:dyDescent="0.2">
      <c r="A98" t="s">
        <v>277</v>
      </c>
      <c r="B98" t="s">
        <v>226</v>
      </c>
      <c r="C98" t="s">
        <v>162</v>
      </c>
      <c r="D98" s="1">
        <v>0.47</v>
      </c>
    </row>
    <row r="99" spans="1:6" x14ac:dyDescent="0.2">
      <c r="A99" t="s">
        <v>278</v>
      </c>
      <c r="B99" t="s">
        <v>152</v>
      </c>
      <c r="C99" t="s">
        <v>279</v>
      </c>
      <c r="D99" s="1">
        <v>0.5</v>
      </c>
    </row>
    <row r="100" spans="1:6" x14ac:dyDescent="0.2">
      <c r="A100" t="s">
        <v>280</v>
      </c>
      <c r="B100" t="s">
        <v>281</v>
      </c>
      <c r="C100" t="s">
        <v>161</v>
      </c>
      <c r="D100" s="1">
        <v>0.08</v>
      </c>
    </row>
    <row r="101" spans="1:6" x14ac:dyDescent="0.2">
      <c r="A101" t="s">
        <v>282</v>
      </c>
      <c r="B101" t="s">
        <v>283</v>
      </c>
      <c r="C101" t="s">
        <v>167</v>
      </c>
      <c r="D101" s="1">
        <v>0.02</v>
      </c>
    </row>
    <row r="102" spans="1:6" x14ac:dyDescent="0.2">
      <c r="A102" t="s">
        <v>284</v>
      </c>
      <c r="B102" t="s">
        <v>285</v>
      </c>
      <c r="C102" t="s">
        <v>286</v>
      </c>
      <c r="D102" s="1">
        <v>0.49</v>
      </c>
    </row>
    <row r="103" spans="1:6" x14ac:dyDescent="0.2">
      <c r="A103" t="s">
        <v>287</v>
      </c>
      <c r="B103" t="s">
        <v>288</v>
      </c>
      <c r="C103" t="s">
        <v>67</v>
      </c>
      <c r="D103" s="1">
        <v>0.04</v>
      </c>
    </row>
    <row r="104" spans="1:6" x14ac:dyDescent="0.2">
      <c r="A104" t="s">
        <v>289</v>
      </c>
      <c r="B104" t="s">
        <v>290</v>
      </c>
      <c r="C104" t="s">
        <v>291</v>
      </c>
      <c r="D104" s="1">
        <v>0.49</v>
      </c>
    </row>
    <row r="105" spans="1:6" x14ac:dyDescent="0.2">
      <c r="A105" t="s">
        <v>292</v>
      </c>
      <c r="B105" t="s">
        <v>293</v>
      </c>
      <c r="C105" t="s">
        <v>294</v>
      </c>
      <c r="D105" s="1">
        <v>0.42</v>
      </c>
    </row>
    <row r="106" spans="1:6" x14ac:dyDescent="0.2">
      <c r="A106" t="s">
        <v>295</v>
      </c>
      <c r="B106" t="s">
        <v>296</v>
      </c>
      <c r="C106" t="s">
        <v>297</v>
      </c>
      <c r="D106" s="1">
        <v>0.21</v>
      </c>
      <c r="E106">
        <v>-1</v>
      </c>
      <c r="F106" t="s">
        <v>59</v>
      </c>
    </row>
    <row r="107" spans="1:6" x14ac:dyDescent="0.2">
      <c r="A107" t="s">
        <v>298</v>
      </c>
      <c r="B107" t="s">
        <v>299</v>
      </c>
      <c r="C107" t="s">
        <v>300</v>
      </c>
      <c r="D107" s="1">
        <v>0.41</v>
      </c>
    </row>
    <row r="108" spans="1:6" x14ac:dyDescent="0.2">
      <c r="A108" t="s">
        <v>301</v>
      </c>
      <c r="B108" t="s">
        <v>302</v>
      </c>
      <c r="C108" t="s">
        <v>303</v>
      </c>
      <c r="D108" s="1">
        <v>0.01</v>
      </c>
    </row>
    <row r="109" spans="1:6" x14ac:dyDescent="0.2">
      <c r="A109" t="s">
        <v>304</v>
      </c>
      <c r="B109" t="s">
        <v>305</v>
      </c>
      <c r="C109" t="s">
        <v>306</v>
      </c>
      <c r="D109" s="1">
        <v>0.24</v>
      </c>
    </row>
    <row r="110" spans="1:6" x14ac:dyDescent="0.2">
      <c r="A110" t="s">
        <v>307</v>
      </c>
      <c r="B110" t="s">
        <v>308</v>
      </c>
      <c r="C110" t="s">
        <v>309</v>
      </c>
      <c r="D110" s="1">
        <v>0.34</v>
      </c>
    </row>
    <row r="111" spans="1:6" x14ac:dyDescent="0.2">
      <c r="A111" t="s">
        <v>310</v>
      </c>
      <c r="B111" t="s">
        <v>146</v>
      </c>
      <c r="C111" t="s">
        <v>311</v>
      </c>
      <c r="D111" s="1">
        <v>0.34</v>
      </c>
    </row>
    <row r="112" spans="1:6" x14ac:dyDescent="0.2">
      <c r="A112" t="s">
        <v>312</v>
      </c>
      <c r="B112" t="s">
        <v>313</v>
      </c>
      <c r="C112" t="s">
        <v>162</v>
      </c>
      <c r="D112" s="1">
        <v>0.02</v>
      </c>
    </row>
    <row r="113" spans="1:6" x14ac:dyDescent="0.2">
      <c r="A113" t="s">
        <v>314</v>
      </c>
      <c r="B113" t="s">
        <v>315</v>
      </c>
      <c r="C113" t="s">
        <v>239</v>
      </c>
      <c r="D113" s="1">
        <v>0.02</v>
      </c>
    </row>
    <row r="114" spans="1:6" x14ac:dyDescent="0.2">
      <c r="A114" t="s">
        <v>316</v>
      </c>
      <c r="B114" t="s">
        <v>155</v>
      </c>
      <c r="C114" t="s">
        <v>317</v>
      </c>
      <c r="D114" s="1">
        <v>0.64</v>
      </c>
    </row>
    <row r="115" spans="1:6" x14ac:dyDescent="0.2">
      <c r="A115" t="s">
        <v>318</v>
      </c>
      <c r="B115" t="s">
        <v>242</v>
      </c>
      <c r="C115" t="s">
        <v>172</v>
      </c>
      <c r="D115" s="1">
        <v>0.5</v>
      </c>
      <c r="E115">
        <v>-1</v>
      </c>
      <c r="F115" t="s">
        <v>319</v>
      </c>
    </row>
    <row r="116" spans="1:6" x14ac:dyDescent="0.2">
      <c r="A116" t="s">
        <v>320</v>
      </c>
      <c r="B116" t="s">
        <v>321</v>
      </c>
      <c r="C116" t="s">
        <v>322</v>
      </c>
      <c r="D116" s="1">
        <v>0.47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18EF2-9783-DD49-88F6-45ED3C804D8F}">
  <dimension ref="A1:J110"/>
  <sheetViews>
    <sheetView topLeftCell="F1" zoomScaleNormal="60" zoomScaleSheetLayoutView="100" workbookViewId="0">
      <selection activeCell="M23" sqref="M23"/>
    </sheetView>
  </sheetViews>
  <sheetFormatPr defaultRowHeight="15" x14ac:dyDescent="0.2"/>
  <cols>
    <col min="1" max="1" width="27.44140625" customWidth="1"/>
    <col min="6" max="6" width="11.5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323</v>
      </c>
      <c r="G1" t="s">
        <v>342</v>
      </c>
      <c r="H1" t="s">
        <v>343</v>
      </c>
      <c r="I1" t="s">
        <v>344</v>
      </c>
      <c r="J1" t="s">
        <v>345</v>
      </c>
    </row>
    <row r="2" spans="1:10" x14ac:dyDescent="0.2">
      <c r="A2" t="s">
        <v>63</v>
      </c>
      <c r="B2" s="2">
        <v>2025</v>
      </c>
      <c r="C2" s="2">
        <v>3971</v>
      </c>
      <c r="D2" s="1">
        <v>0.49</v>
      </c>
      <c r="E2">
        <v>3</v>
      </c>
      <c r="F2">
        <v>5</v>
      </c>
      <c r="G2" s="2">
        <f>C2-B2</f>
        <v>1946</v>
      </c>
      <c r="H2" t="str">
        <f>IF(F2="","Missing",IF(F2&gt;=4,"Excellent",IF(F2&gt;=3,"Good",IF(F2&gt;=2,"Average","Poor"))))</f>
        <v>Excellent</v>
      </c>
      <c r="I2" t="str">
        <f>IF(D2="","Missing",IF(D2&lt;=20%,"Low",IF(D2&lt;=40%,"Moderate",IF(D2&lt;=60%,"High","Very High"))))</f>
        <v>High</v>
      </c>
      <c r="J2" t="str">
        <f>IF(B2="","Missing",IF(B2&lt;1000,"Budget",IF(B2&lt;3000,"Mid-Range",IF(B2&lt;5000,"Premium","High-End"))))</f>
        <v>Mid-Range</v>
      </c>
    </row>
    <row r="3" spans="1:10" x14ac:dyDescent="0.2">
      <c r="A3" t="s">
        <v>56</v>
      </c>
      <c r="B3">
        <v>332</v>
      </c>
      <c r="C3">
        <v>684</v>
      </c>
      <c r="D3" s="1">
        <v>0.51</v>
      </c>
      <c r="E3">
        <v>2</v>
      </c>
      <c r="F3">
        <v>5</v>
      </c>
      <c r="G3" s="2">
        <f>C3-B3</f>
        <v>352</v>
      </c>
      <c r="H3" t="str">
        <f>IF(F3="","Missing",IF(F3&gt;=4,"Excellent",IF(F3&gt;=3,"Good",IF(F3&gt;=2,"Average","Poor"))))</f>
        <v>Excellent</v>
      </c>
      <c r="I3" t="str">
        <f t="shared" ref="I3:I66" si="0">IF(D3="","Missing",IF(D3&lt;=20%,"Low",IF(D3&lt;=40%,"Moderate",IF(D3&lt;=60%,"High","Very High"))))</f>
        <v>High</v>
      </c>
      <c r="J3" t="str">
        <f t="shared" ref="J3:J66" si="1">IF(B3="","Missing",IF(B3&lt;1000,"Budget",IF(B3&lt;3000,"Mid-Range",IF(B3&lt;5000,"Premium","High-End"))))</f>
        <v>Budget</v>
      </c>
    </row>
    <row r="4" spans="1:10" x14ac:dyDescent="0.2">
      <c r="A4" t="s">
        <v>60</v>
      </c>
      <c r="B4">
        <v>195</v>
      </c>
      <c r="C4">
        <v>360</v>
      </c>
      <c r="D4" s="1">
        <v>0.46</v>
      </c>
      <c r="E4">
        <v>2</v>
      </c>
      <c r="F4">
        <v>5</v>
      </c>
      <c r="G4" s="2">
        <f>C4-B4</f>
        <v>165</v>
      </c>
      <c r="H4" t="str">
        <f>IF(F4="","Missing",IF(F4&gt;=4,"Excellent",IF(F4&gt;=3,"Good",IF(F4&gt;=2,"Average","Poor"))))</f>
        <v>Excellent</v>
      </c>
      <c r="I4" t="str">
        <f t="shared" si="0"/>
        <v>High</v>
      </c>
      <c r="J4" t="str">
        <f t="shared" si="1"/>
        <v>Budget</v>
      </c>
    </row>
    <row r="5" spans="1:10" x14ac:dyDescent="0.2">
      <c r="A5" t="s">
        <v>120</v>
      </c>
      <c r="B5">
        <v>171</v>
      </c>
      <c r="C5">
        <v>360</v>
      </c>
      <c r="D5" s="1">
        <v>0.53</v>
      </c>
      <c r="E5">
        <v>2</v>
      </c>
      <c r="F5">
        <v>5</v>
      </c>
      <c r="G5" s="2">
        <f>C5-B5</f>
        <v>189</v>
      </c>
      <c r="H5" t="str">
        <f>IF(F5="","Missing",IF(F5&gt;=4,"Excellent",IF(F5&gt;=3,"Good",IF(F5&gt;=2,"Average","Poor"))))</f>
        <v>Excellent</v>
      </c>
      <c r="I5" t="str">
        <f t="shared" si="0"/>
        <v>High</v>
      </c>
      <c r="J5" t="str">
        <f t="shared" si="1"/>
        <v>Budget</v>
      </c>
    </row>
    <row r="6" spans="1:10" x14ac:dyDescent="0.2">
      <c r="A6" t="s">
        <v>117</v>
      </c>
      <c r="B6" s="2">
        <v>1620</v>
      </c>
      <c r="C6" s="2">
        <v>2690</v>
      </c>
      <c r="D6" s="1">
        <v>0.4</v>
      </c>
      <c r="E6">
        <v>1</v>
      </c>
      <c r="F6">
        <v>5</v>
      </c>
      <c r="G6" s="2">
        <f>C6-B6</f>
        <v>1070</v>
      </c>
      <c r="H6" t="str">
        <f>IF(F6="","Missing",IF(F6&gt;=4,"Excellent",IF(F6&gt;=3,"Good",IF(F6&gt;=2,"Average","Poor"))))</f>
        <v>Excellent</v>
      </c>
      <c r="I6" t="str">
        <f t="shared" si="0"/>
        <v>Moderate</v>
      </c>
      <c r="J6" t="str">
        <f t="shared" si="1"/>
        <v>Mid-Range</v>
      </c>
    </row>
    <row r="7" spans="1:10" x14ac:dyDescent="0.2">
      <c r="A7" t="s">
        <v>245</v>
      </c>
      <c r="B7">
        <v>979</v>
      </c>
      <c r="C7" s="2">
        <v>1920</v>
      </c>
      <c r="D7" s="1">
        <v>0.49</v>
      </c>
      <c r="E7">
        <v>1</v>
      </c>
      <c r="F7">
        <v>5</v>
      </c>
      <c r="G7" s="2">
        <f>C7-B7</f>
        <v>941</v>
      </c>
      <c r="H7" t="str">
        <f>IF(F7="","Missing",IF(F7&gt;=4,"Excellent",IF(F7&gt;=3,"Good",IF(F7&gt;=2,"Average","Poor"))))</f>
        <v>Excellent</v>
      </c>
      <c r="I7" t="str">
        <f t="shared" si="0"/>
        <v>High</v>
      </c>
      <c r="J7" t="str">
        <f t="shared" si="1"/>
        <v>Budget</v>
      </c>
    </row>
    <row r="8" spans="1:10" x14ac:dyDescent="0.2">
      <c r="A8" t="s">
        <v>295</v>
      </c>
      <c r="B8" s="2">
        <v>3640</v>
      </c>
      <c r="C8" s="2">
        <v>4588</v>
      </c>
      <c r="D8" s="1">
        <v>0.21</v>
      </c>
      <c r="E8">
        <v>1</v>
      </c>
      <c r="F8">
        <v>5</v>
      </c>
      <c r="G8" s="2">
        <f>C8-B8</f>
        <v>948</v>
      </c>
      <c r="H8" t="str">
        <f>IF(F8="","Missing",IF(F8&gt;=4,"Excellent",IF(F8&gt;=3,"Good",IF(F8&gt;=2,"Average","Poor"))))</f>
        <v>Excellent</v>
      </c>
      <c r="I8" t="str">
        <f t="shared" si="0"/>
        <v>Moderate</v>
      </c>
      <c r="J8" t="str">
        <f t="shared" si="1"/>
        <v>Premium</v>
      </c>
    </row>
    <row r="9" spans="1:10" x14ac:dyDescent="0.2">
      <c r="A9" t="s">
        <v>47</v>
      </c>
      <c r="B9">
        <v>552</v>
      </c>
      <c r="C9" s="2">
        <v>1035</v>
      </c>
      <c r="D9" s="1">
        <v>0.47</v>
      </c>
      <c r="E9">
        <v>12</v>
      </c>
      <c r="F9">
        <v>4.8</v>
      </c>
      <c r="G9" s="2">
        <f>C9-B9</f>
        <v>483</v>
      </c>
      <c r="H9" t="str">
        <f>IF(F9="","Missing",IF(F9&gt;=4,"Excellent",IF(F9&gt;=3,"Good",IF(F9&gt;=2,"Average","Poor"))))</f>
        <v>Excellent</v>
      </c>
      <c r="I9" t="str">
        <f t="shared" si="0"/>
        <v>High</v>
      </c>
      <c r="J9" t="str">
        <f t="shared" si="1"/>
        <v>Budget</v>
      </c>
    </row>
    <row r="10" spans="1:10" x14ac:dyDescent="0.2">
      <c r="A10" t="s">
        <v>22</v>
      </c>
      <c r="B10" s="2">
        <v>1740</v>
      </c>
      <c r="C10" s="2">
        <v>2356</v>
      </c>
      <c r="D10" s="1">
        <v>0.26</v>
      </c>
      <c r="E10">
        <v>5</v>
      </c>
      <c r="F10">
        <v>4.8</v>
      </c>
      <c r="G10" s="2">
        <f>C10-B10</f>
        <v>616</v>
      </c>
      <c r="H10" t="str">
        <f>IF(F10="","Missing",IF(F10&gt;=4,"Excellent",IF(F10&gt;=3,"Good",IF(F10&gt;=2,"Average","Poor"))))</f>
        <v>Excellent</v>
      </c>
      <c r="I10" t="str">
        <f t="shared" si="0"/>
        <v>Moderate</v>
      </c>
      <c r="J10" t="str">
        <f t="shared" si="1"/>
        <v>Mid-Range</v>
      </c>
    </row>
    <row r="11" spans="1:10" x14ac:dyDescent="0.2">
      <c r="A11" t="s">
        <v>35</v>
      </c>
      <c r="B11" s="2">
        <v>1274</v>
      </c>
      <c r="C11" s="2">
        <v>2800</v>
      </c>
      <c r="D11" s="1">
        <v>0.55000000000000004</v>
      </c>
      <c r="E11">
        <v>5</v>
      </c>
      <c r="F11">
        <v>4.8</v>
      </c>
      <c r="G11" s="2">
        <f>C11-B11</f>
        <v>1526</v>
      </c>
      <c r="H11" t="str">
        <f>IF(F11="","Missing",IF(F11&gt;=4,"Excellent",IF(F11&gt;=3,"Good",IF(F11&gt;=2,"Average","Poor"))))</f>
        <v>Excellent</v>
      </c>
      <c r="I11" t="str">
        <f t="shared" si="0"/>
        <v>High</v>
      </c>
      <c r="J11" t="str">
        <f t="shared" si="1"/>
        <v>Mid-Range</v>
      </c>
    </row>
    <row r="12" spans="1:10" x14ac:dyDescent="0.2">
      <c r="A12" t="s">
        <v>44</v>
      </c>
      <c r="B12">
        <v>990</v>
      </c>
      <c r="C12" s="2">
        <v>1500</v>
      </c>
      <c r="D12" s="1">
        <v>0.34</v>
      </c>
      <c r="E12">
        <v>39</v>
      </c>
      <c r="F12">
        <v>4.7</v>
      </c>
      <c r="G12" s="2">
        <f>C12-B12</f>
        <v>510</v>
      </c>
      <c r="H12" t="str">
        <f>IF(F12="","Missing",IF(F12&gt;=4,"Excellent",IF(F12&gt;=3,"Good",IF(F12&gt;=2,"Average","Poor"))))</f>
        <v>Excellent</v>
      </c>
      <c r="I12" t="str">
        <f t="shared" si="0"/>
        <v>Moderate</v>
      </c>
      <c r="J12" t="str">
        <f t="shared" si="1"/>
        <v>Budget</v>
      </c>
    </row>
    <row r="13" spans="1:10" x14ac:dyDescent="0.2">
      <c r="A13" t="s">
        <v>111</v>
      </c>
      <c r="B13" s="2">
        <v>1940</v>
      </c>
      <c r="C13" s="2">
        <v>2650</v>
      </c>
      <c r="D13" s="1">
        <v>0.27</v>
      </c>
      <c r="E13">
        <v>20</v>
      </c>
      <c r="F13">
        <v>4.7</v>
      </c>
      <c r="G13" s="2">
        <f>C13-B13</f>
        <v>710</v>
      </c>
      <c r="H13" t="str">
        <f>IF(F13="","Missing",IF(F13&gt;=4,"Excellent",IF(F13&gt;=3,"Good",IF(F13&gt;=2,"Average","Poor"))))</f>
        <v>Excellent</v>
      </c>
      <c r="I13" t="str">
        <f t="shared" si="0"/>
        <v>Moderate</v>
      </c>
      <c r="J13" t="str">
        <f t="shared" si="1"/>
        <v>Mid-Range</v>
      </c>
    </row>
    <row r="14" spans="1:10" x14ac:dyDescent="0.2">
      <c r="A14" t="s">
        <v>105</v>
      </c>
      <c r="B14">
        <v>980</v>
      </c>
      <c r="C14" s="2">
        <v>1490</v>
      </c>
      <c r="D14" s="1">
        <v>0.34</v>
      </c>
      <c r="E14">
        <v>12</v>
      </c>
      <c r="F14">
        <v>4.7</v>
      </c>
      <c r="G14" s="2">
        <f>C14-B14</f>
        <v>510</v>
      </c>
      <c r="H14" t="str">
        <f>IF(F14="","Missing",IF(F14&gt;=4,"Excellent",IF(F14&gt;=3,"Good",IF(F14&gt;=2,"Average","Poor"))))</f>
        <v>Excellent</v>
      </c>
      <c r="I14" t="str">
        <f t="shared" si="0"/>
        <v>Moderate</v>
      </c>
      <c r="J14" t="str">
        <f t="shared" si="1"/>
        <v>Budget</v>
      </c>
    </row>
    <row r="15" spans="1:10" x14ac:dyDescent="0.2">
      <c r="A15" t="s">
        <v>18</v>
      </c>
      <c r="B15" s="2">
        <v>1580</v>
      </c>
      <c r="C15" s="2">
        <v>2499</v>
      </c>
      <c r="D15" s="1">
        <v>0.37</v>
      </c>
      <c r="E15">
        <v>7</v>
      </c>
      <c r="F15">
        <v>4.7</v>
      </c>
      <c r="G15" s="2">
        <f>C15-B15</f>
        <v>919</v>
      </c>
      <c r="H15" t="str">
        <f>IF(F15="","Missing",IF(F15&gt;=4,"Excellent",IF(F15&gt;=3,"Good",IF(F15&gt;=2,"Average","Poor"))))</f>
        <v>Excellent</v>
      </c>
      <c r="I15" t="str">
        <f t="shared" si="0"/>
        <v>Moderate</v>
      </c>
      <c r="J15" t="str">
        <f t="shared" si="1"/>
        <v>Mid-Range</v>
      </c>
    </row>
    <row r="16" spans="1:10" x14ac:dyDescent="0.2">
      <c r="A16" t="s">
        <v>30</v>
      </c>
      <c r="B16" s="2">
        <v>2319</v>
      </c>
      <c r="C16" s="2">
        <v>3032</v>
      </c>
      <c r="D16" s="1">
        <v>0.24</v>
      </c>
      <c r="E16">
        <v>55</v>
      </c>
      <c r="F16">
        <v>4.5999999999999996</v>
      </c>
      <c r="G16" s="2">
        <f>C16-B16</f>
        <v>713</v>
      </c>
      <c r="H16" t="str">
        <f>IF(F16="","Missing",IF(F16&gt;=4,"Excellent",IF(F16&gt;=3,"Good",IF(F16&gt;=2,"Average","Poor"))))</f>
        <v>Excellent</v>
      </c>
      <c r="I16" t="str">
        <f t="shared" si="0"/>
        <v>Moderate</v>
      </c>
      <c r="J16" t="str">
        <f t="shared" si="1"/>
        <v>Mid-Range</v>
      </c>
    </row>
    <row r="17" spans="1:10" x14ac:dyDescent="0.2">
      <c r="A17" t="s">
        <v>89</v>
      </c>
      <c r="B17">
        <v>420</v>
      </c>
      <c r="C17">
        <v>647</v>
      </c>
      <c r="D17" s="1">
        <v>0.35</v>
      </c>
      <c r="E17">
        <v>49</v>
      </c>
      <c r="F17">
        <v>4.5999999999999996</v>
      </c>
      <c r="G17" s="2">
        <f>C17-B17</f>
        <v>227</v>
      </c>
      <c r="H17" t="str">
        <f>IF(F17="","Missing",IF(F17&gt;=4,"Excellent",IF(F17&gt;=3,"Good",IF(F17&gt;=2,"Average","Poor"))))</f>
        <v>Excellent</v>
      </c>
      <c r="I17" t="str">
        <f t="shared" si="0"/>
        <v>Moderate</v>
      </c>
      <c r="J17" t="str">
        <f t="shared" si="1"/>
        <v>Budget</v>
      </c>
    </row>
    <row r="18" spans="1:10" x14ac:dyDescent="0.2">
      <c r="A18" t="s">
        <v>68</v>
      </c>
      <c r="B18">
        <v>998</v>
      </c>
      <c r="C18" s="2">
        <v>1966</v>
      </c>
      <c r="D18" s="1">
        <v>0.49</v>
      </c>
      <c r="E18">
        <v>44</v>
      </c>
      <c r="F18">
        <v>4.5999999999999996</v>
      </c>
      <c r="G18" s="2">
        <f>C18-B18</f>
        <v>968</v>
      </c>
      <c r="H18" t="str">
        <f>IF(F18="","Missing",IF(F18&gt;=4,"Excellent",IF(F18&gt;=3,"Good",IF(F18&gt;=2,"Average","Poor"))))</f>
        <v>Excellent</v>
      </c>
      <c r="I18" t="str">
        <f t="shared" si="0"/>
        <v>High</v>
      </c>
      <c r="J18" t="str">
        <f t="shared" si="1"/>
        <v>Budget</v>
      </c>
    </row>
    <row r="19" spans="1:10" x14ac:dyDescent="0.2">
      <c r="A19" t="s">
        <v>14</v>
      </c>
      <c r="B19" s="2">
        <v>2199</v>
      </c>
      <c r="C19" s="2">
        <v>2923</v>
      </c>
      <c r="D19" s="1">
        <v>0.25</v>
      </c>
      <c r="E19">
        <v>24</v>
      </c>
      <c r="F19">
        <v>4.5999999999999996</v>
      </c>
      <c r="G19" s="2">
        <f>C19-B19</f>
        <v>724</v>
      </c>
      <c r="H19" t="str">
        <f>IF(F19="","Missing",IF(F19&gt;=4,"Excellent",IF(F19&gt;=3,"Good",IF(F19&gt;=2,"Average","Poor"))))</f>
        <v>Excellent</v>
      </c>
      <c r="I19" t="str">
        <f t="shared" si="0"/>
        <v>Moderate</v>
      </c>
      <c r="J19" t="str">
        <f t="shared" si="1"/>
        <v>Mid-Range</v>
      </c>
    </row>
    <row r="20" spans="1:10" x14ac:dyDescent="0.2">
      <c r="A20" t="s">
        <v>66</v>
      </c>
      <c r="B20" s="2">
        <v>2999</v>
      </c>
      <c r="C20" s="2">
        <v>3699</v>
      </c>
      <c r="D20" s="1">
        <v>0.19</v>
      </c>
      <c r="E20">
        <v>5</v>
      </c>
      <c r="F20">
        <v>4.5999999999999996</v>
      </c>
      <c r="G20" s="2">
        <f>C20-B20</f>
        <v>700</v>
      </c>
      <c r="H20" t="str">
        <f>IF(F20="","Missing",IF(F20&gt;=4,"Excellent",IF(F20&gt;=3,"Good",IF(F20&gt;=2,"Average","Poor"))))</f>
        <v>Excellent</v>
      </c>
      <c r="I20" t="str">
        <f t="shared" si="0"/>
        <v>Low</v>
      </c>
      <c r="J20" t="str">
        <f t="shared" si="1"/>
        <v>Mid-Range</v>
      </c>
    </row>
    <row r="21" spans="1:10" x14ac:dyDescent="0.2">
      <c r="A21" t="s">
        <v>114</v>
      </c>
      <c r="B21" s="2">
        <v>1980</v>
      </c>
      <c r="C21" s="2">
        <v>2699</v>
      </c>
      <c r="D21" s="1">
        <v>0.27</v>
      </c>
      <c r="E21">
        <v>32</v>
      </c>
      <c r="F21">
        <v>4.5</v>
      </c>
      <c r="G21" s="2">
        <f>C21-B21</f>
        <v>719</v>
      </c>
      <c r="H21" t="str">
        <f>IF(F21="","Missing",IF(F21&gt;=4,"Excellent",IF(F21&gt;=3,"Good",IF(F21&gt;=2,"Average","Poor"))))</f>
        <v>Excellent</v>
      </c>
      <c r="I21" t="str">
        <f t="shared" si="0"/>
        <v>Moderate</v>
      </c>
      <c r="J21" t="str">
        <f t="shared" si="1"/>
        <v>Mid-Range</v>
      </c>
    </row>
    <row r="22" spans="1:10" x14ac:dyDescent="0.2">
      <c r="A22" t="s">
        <v>50</v>
      </c>
      <c r="B22">
        <v>501</v>
      </c>
      <c r="C22">
        <v>860</v>
      </c>
      <c r="D22" s="1">
        <v>0.42</v>
      </c>
      <c r="E22">
        <v>6</v>
      </c>
      <c r="F22">
        <v>4.5</v>
      </c>
      <c r="G22" s="2">
        <f>C22-B22</f>
        <v>359</v>
      </c>
      <c r="H22" t="str">
        <f>IF(F22="","Missing",IF(F22&gt;=4,"Excellent",IF(F22&gt;=3,"Good",IF(F22&gt;=2,"Average","Poor"))))</f>
        <v>Excellent</v>
      </c>
      <c r="I22" t="str">
        <f t="shared" si="0"/>
        <v>High</v>
      </c>
      <c r="J22" t="str">
        <f t="shared" si="1"/>
        <v>Budget</v>
      </c>
    </row>
    <row r="23" spans="1:10" x14ac:dyDescent="0.2">
      <c r="A23" t="s">
        <v>6</v>
      </c>
      <c r="B23">
        <v>950</v>
      </c>
      <c r="C23" s="2">
        <v>1525</v>
      </c>
      <c r="D23" s="1">
        <v>0.38</v>
      </c>
      <c r="E23">
        <v>2</v>
      </c>
      <c r="F23">
        <v>4.5</v>
      </c>
      <c r="G23" s="2">
        <f>C23-B23</f>
        <v>575</v>
      </c>
      <c r="H23" t="str">
        <f>IF(F23="","Missing",IF(F23&gt;=4,"Excellent",IF(F23&gt;=3,"Good",IF(F23&gt;=2,"Average","Poor"))))</f>
        <v>Excellent</v>
      </c>
      <c r="I23" t="str">
        <f t="shared" si="0"/>
        <v>Moderate</v>
      </c>
      <c r="J23" t="str">
        <f t="shared" si="1"/>
        <v>Budget</v>
      </c>
    </row>
    <row r="24" spans="1:10" x14ac:dyDescent="0.2">
      <c r="A24" t="s">
        <v>125</v>
      </c>
      <c r="B24">
        <v>1800</v>
      </c>
      <c r="C24">
        <v>2700</v>
      </c>
      <c r="D24" s="1">
        <v>0.38</v>
      </c>
      <c r="E24">
        <v>2</v>
      </c>
      <c r="F24">
        <v>4.5</v>
      </c>
      <c r="G24" s="2">
        <f>C24-B24</f>
        <v>900</v>
      </c>
      <c r="H24" t="str">
        <f>IF(F24="","Missing",IF(F24&gt;=4,"Excellent",IF(F24&gt;=3,"Good",IF(F24&gt;=2,"Average","Poor"))))</f>
        <v>Excellent</v>
      </c>
      <c r="I24" t="str">
        <f t="shared" si="0"/>
        <v>Moderate</v>
      </c>
      <c r="J24" t="str">
        <f t="shared" si="1"/>
        <v>Mid-Range</v>
      </c>
    </row>
    <row r="25" spans="1:10" x14ac:dyDescent="0.2">
      <c r="A25" t="s">
        <v>81</v>
      </c>
      <c r="B25" s="2">
        <v>1650</v>
      </c>
      <c r="C25" s="2">
        <v>2150</v>
      </c>
      <c r="D25" s="1">
        <v>0.23</v>
      </c>
      <c r="E25">
        <v>14</v>
      </c>
      <c r="F25">
        <v>4.4000000000000004</v>
      </c>
      <c r="G25" s="2">
        <f>C25-B25</f>
        <v>500</v>
      </c>
      <c r="H25" t="str">
        <f>IF(F25="","Missing",IF(F25&gt;=4,"Excellent",IF(F25&gt;=3,"Good",IF(F25&gt;=2,"Average","Poor"))))</f>
        <v>Excellent</v>
      </c>
      <c r="I25" t="str">
        <f t="shared" si="0"/>
        <v>Moderate</v>
      </c>
      <c r="J25" t="str">
        <f t="shared" si="1"/>
        <v>Mid-Range</v>
      </c>
    </row>
    <row r="26" spans="1:10" x14ac:dyDescent="0.2">
      <c r="A26" t="s">
        <v>122</v>
      </c>
      <c r="B26">
        <v>389</v>
      </c>
      <c r="C26">
        <v>656</v>
      </c>
      <c r="D26" s="1">
        <v>0.41</v>
      </c>
      <c r="E26">
        <v>36</v>
      </c>
      <c r="F26">
        <v>4.3</v>
      </c>
      <c r="G26" s="2">
        <f>C26-B26</f>
        <v>267</v>
      </c>
      <c r="H26" t="str">
        <f>IF(F26="","Missing",IF(F26&gt;=4,"Excellent",IF(F26&gt;=3,"Good",IF(F26&gt;=2,"Average","Poor"))))</f>
        <v>Excellent</v>
      </c>
      <c r="I26" t="str">
        <f t="shared" si="0"/>
        <v>High</v>
      </c>
      <c r="J26" t="str">
        <f t="shared" si="1"/>
        <v>Budget</v>
      </c>
    </row>
    <row r="27" spans="1:10" x14ac:dyDescent="0.2">
      <c r="A27" t="s">
        <v>102</v>
      </c>
      <c r="B27">
        <v>185</v>
      </c>
      <c r="C27">
        <v>382</v>
      </c>
      <c r="D27" s="1">
        <v>0.52</v>
      </c>
      <c r="E27">
        <v>9</v>
      </c>
      <c r="F27">
        <v>4.3</v>
      </c>
      <c r="G27" s="2">
        <f>C27-B27</f>
        <v>197</v>
      </c>
      <c r="H27" t="str">
        <f>IF(F27="","Missing",IF(F27&gt;=4,"Excellent",IF(F27&gt;=3,"Good",IF(F27&gt;=2,"Average","Poor"))))</f>
        <v>Excellent</v>
      </c>
      <c r="I27" t="str">
        <f t="shared" si="0"/>
        <v>High</v>
      </c>
      <c r="J27" t="str">
        <f t="shared" si="1"/>
        <v>Budget</v>
      </c>
    </row>
    <row r="28" spans="1:10" x14ac:dyDescent="0.2">
      <c r="A28" t="s">
        <v>108</v>
      </c>
      <c r="B28" s="2">
        <v>1820</v>
      </c>
      <c r="C28" s="2">
        <v>3490</v>
      </c>
      <c r="D28" s="1">
        <v>0.48</v>
      </c>
      <c r="E28">
        <v>9</v>
      </c>
      <c r="F28">
        <v>4.3</v>
      </c>
      <c r="G28" s="2">
        <f>C28-B28</f>
        <v>1670</v>
      </c>
      <c r="H28" t="str">
        <f>IF(F28="","Missing",IF(F28&gt;=4,"Excellent",IF(F28&gt;=3,"Good",IF(F28&gt;=2,"Average","Poor"))))</f>
        <v>Excellent</v>
      </c>
      <c r="I28" t="str">
        <f t="shared" si="0"/>
        <v>High</v>
      </c>
      <c r="J28" t="str">
        <f t="shared" si="1"/>
        <v>Mid-Range</v>
      </c>
    </row>
    <row r="29" spans="1:10" x14ac:dyDescent="0.2">
      <c r="A29" t="s">
        <v>85</v>
      </c>
      <c r="B29" s="2">
        <v>2048</v>
      </c>
      <c r="C29" s="2">
        <v>4500</v>
      </c>
      <c r="D29" s="1">
        <v>0.54</v>
      </c>
      <c r="E29">
        <v>7</v>
      </c>
      <c r="F29">
        <v>4.3</v>
      </c>
      <c r="G29" s="2">
        <f>C29-B29</f>
        <v>2452</v>
      </c>
      <c r="H29" t="str">
        <f>IF(F29="","Missing",IF(F29&gt;=4,"Excellent",IF(F29&gt;=3,"Good",IF(F29&gt;=2,"Average","Poor"))))</f>
        <v>Excellent</v>
      </c>
      <c r="I29" t="str">
        <f t="shared" si="0"/>
        <v>High</v>
      </c>
      <c r="J29" t="str">
        <f t="shared" si="1"/>
        <v>Mid-Range</v>
      </c>
    </row>
    <row r="30" spans="1:10" x14ac:dyDescent="0.2">
      <c r="A30" t="s">
        <v>53</v>
      </c>
      <c r="B30" s="2">
        <v>1680</v>
      </c>
      <c r="C30" s="2">
        <v>2499</v>
      </c>
      <c r="D30" s="1">
        <v>0.33</v>
      </c>
      <c r="E30">
        <v>9</v>
      </c>
      <c r="F30">
        <v>4.2</v>
      </c>
      <c r="G30" s="2">
        <f>C30-B30</f>
        <v>819</v>
      </c>
      <c r="H30" t="str">
        <f>IF(F30="","Missing",IF(F30&gt;=4,"Excellent",IF(F30&gt;=3,"Good",IF(F30&gt;=2,"Average","Poor"))))</f>
        <v>Excellent</v>
      </c>
      <c r="I30" t="str">
        <f t="shared" si="0"/>
        <v>Moderate</v>
      </c>
      <c r="J30" t="str">
        <f t="shared" si="1"/>
        <v>Mid-Range</v>
      </c>
    </row>
    <row r="31" spans="1:10" x14ac:dyDescent="0.2">
      <c r="A31" t="s">
        <v>97</v>
      </c>
      <c r="B31" s="2">
        <v>1758</v>
      </c>
      <c r="C31" s="2">
        <v>2499</v>
      </c>
      <c r="D31" s="1">
        <v>0.3</v>
      </c>
      <c r="E31">
        <v>20</v>
      </c>
      <c r="F31">
        <v>4.0999999999999996</v>
      </c>
      <c r="G31" s="2">
        <f>C31-B31</f>
        <v>741</v>
      </c>
      <c r="H31" t="str">
        <f>IF(F31="","Missing",IF(F31&gt;=4,"Excellent",IF(F31&gt;=3,"Good",IF(F31&gt;=2,"Average","Poor"))))</f>
        <v>Excellent</v>
      </c>
      <c r="I31" t="str">
        <f t="shared" si="0"/>
        <v>Moderate</v>
      </c>
      <c r="J31" t="str">
        <f t="shared" si="1"/>
        <v>Mid-Range</v>
      </c>
    </row>
    <row r="32" spans="1:10" x14ac:dyDescent="0.2">
      <c r="A32" t="s">
        <v>10</v>
      </c>
      <c r="B32">
        <v>527</v>
      </c>
      <c r="C32">
        <v>999</v>
      </c>
      <c r="D32" s="1">
        <v>0.47</v>
      </c>
      <c r="E32">
        <v>14</v>
      </c>
      <c r="F32">
        <v>4.0999999999999996</v>
      </c>
      <c r="G32" s="2">
        <f>C32-B32</f>
        <v>472</v>
      </c>
      <c r="H32" t="str">
        <f>IF(F32="","Missing",IF(F32&gt;=4,"Excellent",IF(F32&gt;=3,"Good",IF(F32&gt;=2,"Average","Poor"))))</f>
        <v>Excellent</v>
      </c>
      <c r="I32" t="str">
        <f t="shared" si="0"/>
        <v>High</v>
      </c>
      <c r="J32" t="str">
        <f t="shared" si="1"/>
        <v>Budget</v>
      </c>
    </row>
    <row r="33" spans="1:10" x14ac:dyDescent="0.2">
      <c r="A33" t="s">
        <v>42</v>
      </c>
      <c r="B33">
        <v>799</v>
      </c>
      <c r="C33">
        <v>999</v>
      </c>
      <c r="D33" s="1">
        <v>0.2</v>
      </c>
      <c r="E33">
        <v>12</v>
      </c>
      <c r="F33">
        <v>4.0999999999999996</v>
      </c>
      <c r="G33" s="2">
        <f>C33-B33</f>
        <v>200</v>
      </c>
      <c r="H33" t="str">
        <f>IF(F33="","Missing",IF(F33&gt;=4,"Excellent",IF(F33&gt;=3,"Good",IF(F33&gt;=2,"Average","Poor"))))</f>
        <v>Excellent</v>
      </c>
      <c r="I33" t="str">
        <f t="shared" si="0"/>
        <v>Low</v>
      </c>
      <c r="J33" t="str">
        <f t="shared" si="1"/>
        <v>Budget</v>
      </c>
    </row>
    <row r="34" spans="1:10" x14ac:dyDescent="0.2">
      <c r="A34" t="s">
        <v>26</v>
      </c>
      <c r="B34" s="2">
        <v>2999</v>
      </c>
      <c r="C34" s="2">
        <v>3290</v>
      </c>
      <c r="D34" s="1">
        <v>0.09</v>
      </c>
      <c r="E34">
        <v>15</v>
      </c>
      <c r="F34">
        <v>4</v>
      </c>
      <c r="G34" s="2">
        <f>C34-B34</f>
        <v>291</v>
      </c>
      <c r="H34" t="str">
        <f>IF(F34="","Missing",IF(F34&gt;=4,"Excellent",IF(F34&gt;=3,"Good",IF(F34&gt;=2,"Average","Poor"))))</f>
        <v>Excellent</v>
      </c>
      <c r="I34" t="str">
        <f t="shared" si="0"/>
        <v>Low</v>
      </c>
      <c r="J34" t="str">
        <f t="shared" si="1"/>
        <v>Mid-Range</v>
      </c>
    </row>
    <row r="35" spans="1:10" x14ac:dyDescent="0.2">
      <c r="A35" t="s">
        <v>78</v>
      </c>
      <c r="B35">
        <v>880</v>
      </c>
      <c r="C35" s="2">
        <v>1350</v>
      </c>
      <c r="D35" s="1">
        <v>0.35</v>
      </c>
      <c r="E35">
        <v>6</v>
      </c>
      <c r="F35">
        <v>4</v>
      </c>
      <c r="G35" s="2">
        <f>C35-B35</f>
        <v>470</v>
      </c>
      <c r="H35" t="str">
        <f>IF(F35="","Missing",IF(F35&gt;=4,"Excellent",IF(F35&gt;=3,"Good",IF(F35&gt;=2,"Average","Poor"))))</f>
        <v>Excellent</v>
      </c>
      <c r="I35" t="str">
        <f t="shared" si="0"/>
        <v>Moderate</v>
      </c>
      <c r="J35" t="str">
        <f t="shared" si="1"/>
        <v>Budget</v>
      </c>
    </row>
    <row r="36" spans="1:10" x14ac:dyDescent="0.2">
      <c r="A36" t="s">
        <v>33</v>
      </c>
      <c r="B36">
        <v>988</v>
      </c>
      <c r="C36" s="2">
        <v>1580</v>
      </c>
      <c r="D36" s="1">
        <v>0.37</v>
      </c>
      <c r="E36">
        <v>2</v>
      </c>
      <c r="F36">
        <v>4</v>
      </c>
      <c r="G36" s="2">
        <f>C36-B36</f>
        <v>592</v>
      </c>
      <c r="H36" t="str">
        <f>IF(F36="","Missing",IF(F36&gt;=4,"Excellent",IF(F36&gt;=3,"Good",IF(F36&gt;=2,"Average","Poor"))))</f>
        <v>Excellent</v>
      </c>
      <c r="I36" t="str">
        <f t="shared" si="0"/>
        <v>Moderate</v>
      </c>
      <c r="J36" t="str">
        <f t="shared" si="1"/>
        <v>Budget</v>
      </c>
    </row>
    <row r="37" spans="1:10" x14ac:dyDescent="0.2">
      <c r="A37" t="s">
        <v>253</v>
      </c>
      <c r="B37">
        <v>330</v>
      </c>
      <c r="C37">
        <v>647</v>
      </c>
      <c r="D37" s="1">
        <v>0.49</v>
      </c>
      <c r="E37">
        <v>1</v>
      </c>
      <c r="F37">
        <v>4</v>
      </c>
      <c r="G37" s="2">
        <f>C37-B37</f>
        <v>317</v>
      </c>
      <c r="H37" t="str">
        <f>IF(F37="","Missing",IF(F37&gt;=4,"Excellent",IF(F37&gt;=3,"Good",IF(F37&gt;=2,"Average","Poor"))))</f>
        <v>Excellent</v>
      </c>
      <c r="I37" t="str">
        <f t="shared" si="0"/>
        <v>High</v>
      </c>
      <c r="J37" t="str">
        <f t="shared" si="1"/>
        <v>Budget</v>
      </c>
    </row>
    <row r="38" spans="1:10" x14ac:dyDescent="0.2">
      <c r="A38" t="s">
        <v>95</v>
      </c>
      <c r="B38" s="2">
        <v>1350</v>
      </c>
      <c r="C38" s="2">
        <v>1990</v>
      </c>
      <c r="D38" s="1">
        <v>0.32</v>
      </c>
      <c r="E38">
        <v>13</v>
      </c>
      <c r="F38">
        <v>3.8</v>
      </c>
      <c r="G38" s="2">
        <f>C38-B38</f>
        <v>640</v>
      </c>
      <c r="H38" t="str">
        <f>IF(F38="","Missing",IF(F38&gt;=4,"Excellent",IF(F38&gt;=3,"Good",IF(F38&gt;=2,"Average","Poor"))))</f>
        <v>Good</v>
      </c>
      <c r="I38" t="str">
        <f t="shared" si="0"/>
        <v>Moderate</v>
      </c>
      <c r="J38" t="str">
        <f t="shared" si="1"/>
        <v>Mid-Range</v>
      </c>
    </row>
    <row r="39" spans="1:10" x14ac:dyDescent="0.2">
      <c r="A39" t="s">
        <v>92</v>
      </c>
      <c r="B39" s="2">
        <v>2880</v>
      </c>
      <c r="C39" s="2">
        <v>3520</v>
      </c>
      <c r="D39" s="1">
        <v>0.18</v>
      </c>
      <c r="E39">
        <v>12</v>
      </c>
      <c r="F39">
        <v>3.8</v>
      </c>
      <c r="G39" s="2">
        <f>C39-B39</f>
        <v>640</v>
      </c>
      <c r="H39" t="str">
        <f>IF(F39="","Missing",IF(F39&gt;=4,"Excellent",IF(F39&gt;=3,"Good",IF(F39&gt;=2,"Average","Poor"))))</f>
        <v>Good</v>
      </c>
      <c r="I39" t="str">
        <f t="shared" si="0"/>
        <v>Low</v>
      </c>
      <c r="J39" t="str">
        <f t="shared" si="1"/>
        <v>Mid-Range</v>
      </c>
    </row>
    <row r="40" spans="1:10" x14ac:dyDescent="0.2">
      <c r="A40" t="s">
        <v>38</v>
      </c>
      <c r="B40" s="2">
        <v>1600</v>
      </c>
      <c r="C40" s="2">
        <v>2929</v>
      </c>
      <c r="D40" s="1">
        <v>0.45</v>
      </c>
      <c r="E40">
        <v>5</v>
      </c>
      <c r="F40">
        <v>3.8</v>
      </c>
      <c r="G40" s="2">
        <f>C40-B40</f>
        <v>1329</v>
      </c>
      <c r="H40" t="str">
        <f>IF(F40="","Missing",IF(F40&gt;=4,"Excellent",IF(F40&gt;=3,"Good",IF(F40&gt;=2,"Average","Poor"))))</f>
        <v>Good</v>
      </c>
      <c r="I40" t="str">
        <f t="shared" si="0"/>
        <v>High</v>
      </c>
      <c r="J40" t="str">
        <f t="shared" si="1"/>
        <v>Mid-Range</v>
      </c>
    </row>
    <row r="41" spans="1:10" x14ac:dyDescent="0.2">
      <c r="A41" t="s">
        <v>71</v>
      </c>
      <c r="B41">
        <v>38</v>
      </c>
      <c r="C41">
        <v>80</v>
      </c>
      <c r="D41" s="1">
        <v>0.53</v>
      </c>
      <c r="E41">
        <v>13</v>
      </c>
      <c r="F41">
        <v>3.3</v>
      </c>
      <c r="G41" s="2">
        <f>C41-B41</f>
        <v>42</v>
      </c>
      <c r="H41" t="str">
        <f>IF(F41="","Missing",IF(F41&gt;=4,"Excellent",IF(F41&gt;=3,"Good",IF(F41&gt;=2,"Average","Poor"))))</f>
        <v>Good</v>
      </c>
      <c r="I41" t="str">
        <f t="shared" si="0"/>
        <v>High</v>
      </c>
      <c r="J41" t="str">
        <f t="shared" si="1"/>
        <v>Budget</v>
      </c>
    </row>
    <row r="42" spans="1:10" x14ac:dyDescent="0.2">
      <c r="A42" t="s">
        <v>186</v>
      </c>
      <c r="B42">
        <v>458</v>
      </c>
      <c r="C42">
        <v>986</v>
      </c>
      <c r="D42" s="1">
        <v>0.54</v>
      </c>
      <c r="E42">
        <v>10</v>
      </c>
      <c r="F42">
        <v>3</v>
      </c>
      <c r="G42" s="2">
        <f>C42-B42</f>
        <v>528</v>
      </c>
      <c r="H42" t="str">
        <f>IF(F42="","Missing",IF(F42&gt;=4,"Excellent",IF(F42&gt;=3,"Good",IF(F42&gt;=2,"Average","Poor"))))</f>
        <v>Good</v>
      </c>
      <c r="I42" t="str">
        <f t="shared" si="0"/>
        <v>High</v>
      </c>
      <c r="J42" t="str">
        <f t="shared" si="1"/>
        <v>Budget</v>
      </c>
    </row>
    <row r="43" spans="1:10" x14ac:dyDescent="0.2">
      <c r="A43" t="s">
        <v>212</v>
      </c>
      <c r="B43" s="2">
        <v>3750</v>
      </c>
      <c r="C43" s="2">
        <v>6143</v>
      </c>
      <c r="D43" s="1">
        <v>0.39</v>
      </c>
      <c r="E43">
        <v>5</v>
      </c>
      <c r="F43">
        <v>3</v>
      </c>
      <c r="G43" s="2">
        <f>C43-B43</f>
        <v>2393</v>
      </c>
      <c r="H43" t="str">
        <f>IF(F43="","Missing",IF(F43&gt;=4,"Excellent",IF(F43&gt;=3,"Good",IF(F43&gt;=2,"Average","Poor"))))</f>
        <v>Good</v>
      </c>
      <c r="I43" t="str">
        <f t="shared" si="0"/>
        <v>Moderate</v>
      </c>
      <c r="J43" t="str">
        <f t="shared" si="1"/>
        <v>Premium</v>
      </c>
    </row>
    <row r="44" spans="1:10" x14ac:dyDescent="0.2">
      <c r="A44" t="s">
        <v>218</v>
      </c>
      <c r="B44" s="2">
        <v>2300</v>
      </c>
      <c r="C44" s="2">
        <v>3240</v>
      </c>
      <c r="D44" s="1">
        <v>0.28999999999999998</v>
      </c>
      <c r="E44">
        <v>5</v>
      </c>
      <c r="F44">
        <v>3</v>
      </c>
      <c r="G44" s="2">
        <f>C44-B44</f>
        <v>940</v>
      </c>
      <c r="H44" t="str">
        <f>IF(F44="","Missing",IF(F44&gt;=4,"Excellent",IF(F44&gt;=3,"Good",IF(F44&gt;=2,"Average","Poor"))))</f>
        <v>Good</v>
      </c>
      <c r="I44" t="str">
        <f t="shared" si="0"/>
        <v>Moderate</v>
      </c>
      <c r="J44" t="str">
        <f t="shared" si="1"/>
        <v>Mid-Range</v>
      </c>
    </row>
    <row r="45" spans="1:10" x14ac:dyDescent="0.2">
      <c r="A45" t="s">
        <v>224</v>
      </c>
      <c r="B45">
        <v>509</v>
      </c>
      <c r="C45">
        <v>899</v>
      </c>
      <c r="D45" s="1">
        <v>0.43</v>
      </c>
      <c r="E45">
        <v>5</v>
      </c>
      <c r="F45">
        <v>3</v>
      </c>
      <c r="G45" s="2">
        <f>C45-B45</f>
        <v>390</v>
      </c>
      <c r="H45" t="str">
        <f>IF(F45="","Missing",IF(F45&gt;=4,"Excellent",IF(F45&gt;=3,"Good",IF(F45&gt;=2,"Average","Poor"))))</f>
        <v>Good</v>
      </c>
      <c r="I45" t="str">
        <f t="shared" si="0"/>
        <v>High</v>
      </c>
      <c r="J45" t="str">
        <f t="shared" si="1"/>
        <v>Budget</v>
      </c>
    </row>
    <row r="46" spans="1:10" x14ac:dyDescent="0.2">
      <c r="A46" t="s">
        <v>243</v>
      </c>
      <c r="B46" s="2">
        <v>1189</v>
      </c>
      <c r="C46" s="2">
        <v>2199</v>
      </c>
      <c r="D46" s="1">
        <v>0.46</v>
      </c>
      <c r="E46">
        <v>1</v>
      </c>
      <c r="F46">
        <v>3</v>
      </c>
      <c r="G46" s="2">
        <f>C46-B46</f>
        <v>1010</v>
      </c>
      <c r="H46" t="str">
        <f>IF(F46="","Missing",IF(F46&gt;=4,"Excellent",IF(F46&gt;=3,"Good",IF(F46&gt;=2,"Average","Poor"))))</f>
        <v>Good</v>
      </c>
      <c r="I46" t="str">
        <f t="shared" si="0"/>
        <v>High</v>
      </c>
      <c r="J46" t="str">
        <f t="shared" si="1"/>
        <v>Mid-Range</v>
      </c>
    </row>
    <row r="47" spans="1:10" x14ac:dyDescent="0.2">
      <c r="A47" t="s">
        <v>202</v>
      </c>
      <c r="B47" s="2">
        <v>1220</v>
      </c>
      <c r="C47" s="2">
        <v>1555</v>
      </c>
      <c r="D47" s="1">
        <v>0.22</v>
      </c>
      <c r="E47">
        <v>16</v>
      </c>
      <c r="F47">
        <v>2.9</v>
      </c>
      <c r="G47" s="2">
        <f>C47-B47</f>
        <v>335</v>
      </c>
      <c r="H47" t="str">
        <f>IF(F47="","Missing",IF(F47&gt;=4,"Excellent",IF(F47&gt;=3,"Good",IF(F47&gt;=2,"Average","Poor"))))</f>
        <v>Average</v>
      </c>
      <c r="I47" t="str">
        <f t="shared" si="0"/>
        <v>Moderate</v>
      </c>
      <c r="J47" t="str">
        <f t="shared" si="1"/>
        <v>Mid-Range</v>
      </c>
    </row>
    <row r="48" spans="1:10" x14ac:dyDescent="0.2">
      <c r="A48" t="s">
        <v>194</v>
      </c>
      <c r="B48">
        <v>445</v>
      </c>
      <c r="C48">
        <v>873</v>
      </c>
      <c r="D48" s="1">
        <v>0.49</v>
      </c>
      <c r="E48">
        <v>69</v>
      </c>
      <c r="F48">
        <v>2.8</v>
      </c>
      <c r="G48" s="2">
        <f>C48-B48</f>
        <v>428</v>
      </c>
      <c r="H48" t="str">
        <f>IF(F48="","Missing",IF(F48&gt;=4,"Excellent",IF(F48&gt;=3,"Good",IF(F48&gt;=2,"Average","Poor"))))</f>
        <v>Average</v>
      </c>
      <c r="I48" t="str">
        <f t="shared" si="0"/>
        <v>High</v>
      </c>
      <c r="J48" t="str">
        <f t="shared" si="1"/>
        <v>Budget</v>
      </c>
    </row>
    <row r="49" spans="1:10" x14ac:dyDescent="0.2">
      <c r="A49" t="s">
        <v>198</v>
      </c>
      <c r="B49">
        <v>325</v>
      </c>
      <c r="C49">
        <v>680</v>
      </c>
      <c r="D49" s="1">
        <v>0.52</v>
      </c>
      <c r="E49">
        <v>15</v>
      </c>
      <c r="F49">
        <v>2.7</v>
      </c>
      <c r="G49" s="2">
        <f>C49-B49</f>
        <v>355</v>
      </c>
      <c r="H49" t="str">
        <f>IF(F49="","Missing",IF(F49&gt;=4,"Excellent",IF(F49&gt;=3,"Good",IF(F49&gt;=2,"Average","Poor"))))</f>
        <v>Average</v>
      </c>
      <c r="I49" t="str">
        <f t="shared" si="0"/>
        <v>High</v>
      </c>
      <c r="J49" t="str">
        <f t="shared" si="1"/>
        <v>Budget</v>
      </c>
    </row>
    <row r="50" spans="1:10" x14ac:dyDescent="0.2">
      <c r="A50" t="s">
        <v>215</v>
      </c>
      <c r="B50">
        <v>382</v>
      </c>
      <c r="C50">
        <v>700</v>
      </c>
      <c r="D50" s="1">
        <v>0.45</v>
      </c>
      <c r="E50">
        <v>17</v>
      </c>
      <c r="F50">
        <v>2.6</v>
      </c>
      <c r="G50" s="2">
        <f>C50-B50</f>
        <v>318</v>
      </c>
      <c r="H50" t="str">
        <f>IF(F50="","Missing",IF(F50&gt;=4,"Excellent",IF(F50&gt;=3,"Good",IF(F50&gt;=2,"Average","Poor"))))</f>
        <v>Average</v>
      </c>
      <c r="I50" t="str">
        <f t="shared" si="0"/>
        <v>High</v>
      </c>
      <c r="J50" t="str">
        <f t="shared" si="1"/>
        <v>Budget</v>
      </c>
    </row>
    <row r="51" spans="1:10" x14ac:dyDescent="0.2">
      <c r="A51" t="s">
        <v>182</v>
      </c>
      <c r="B51" s="2">
        <v>2170</v>
      </c>
      <c r="C51" s="2">
        <v>2500</v>
      </c>
      <c r="D51" s="1">
        <v>0.13</v>
      </c>
      <c r="E51">
        <v>6</v>
      </c>
      <c r="F51">
        <v>2.5</v>
      </c>
      <c r="G51" s="2">
        <f>C51-B51</f>
        <v>330</v>
      </c>
      <c r="H51" t="str">
        <f>IF(F51="","Missing",IF(F51&gt;=4,"Excellent",IF(F51&gt;=3,"Good",IF(F51&gt;=2,"Average","Poor"))))</f>
        <v>Average</v>
      </c>
      <c r="I51" t="str">
        <f t="shared" si="0"/>
        <v>Low</v>
      </c>
      <c r="J51" t="str">
        <f t="shared" si="1"/>
        <v>Mid-Range</v>
      </c>
    </row>
    <row r="52" spans="1:10" x14ac:dyDescent="0.2">
      <c r="A52" t="s">
        <v>209</v>
      </c>
      <c r="B52" s="2">
        <v>1000</v>
      </c>
      <c r="C52" s="2">
        <v>2000</v>
      </c>
      <c r="D52" s="1">
        <v>0.5</v>
      </c>
      <c r="E52">
        <v>7</v>
      </c>
      <c r="F52">
        <v>2.2999999999999998</v>
      </c>
      <c r="G52" s="2">
        <f>C52-B52</f>
        <v>1000</v>
      </c>
      <c r="H52" t="str">
        <f>IF(F52="","Missing",IF(F52&gt;=4,"Excellent",IF(F52&gt;=3,"Good",IF(F52&gt;=2,"Average","Poor"))))</f>
        <v>Average</v>
      </c>
      <c r="I52" t="str">
        <f t="shared" si="0"/>
        <v>High</v>
      </c>
      <c r="J52" t="str">
        <f t="shared" si="1"/>
        <v>Mid-Range</v>
      </c>
    </row>
    <row r="53" spans="1:10" x14ac:dyDescent="0.2">
      <c r="A53" t="s">
        <v>221</v>
      </c>
      <c r="B53">
        <v>345</v>
      </c>
      <c r="C53">
        <v>602</v>
      </c>
      <c r="D53" s="1">
        <v>0.43</v>
      </c>
      <c r="E53">
        <v>6</v>
      </c>
      <c r="F53">
        <v>2.2999999999999998</v>
      </c>
      <c r="G53" s="2">
        <f>C53-B53</f>
        <v>257</v>
      </c>
      <c r="H53" t="str">
        <f>IF(F53="","Missing",IF(F53&gt;=4,"Excellent",IF(F53&gt;=3,"Good",IF(F53&gt;=2,"Average","Poor"))))</f>
        <v>Average</v>
      </c>
      <c r="I53" t="str">
        <f t="shared" si="0"/>
        <v>High</v>
      </c>
      <c r="J53" t="str">
        <f t="shared" si="1"/>
        <v>Budget</v>
      </c>
    </row>
    <row r="54" spans="1:10" x14ac:dyDescent="0.2">
      <c r="A54" t="s">
        <v>206</v>
      </c>
      <c r="B54">
        <v>990</v>
      </c>
      <c r="C54" s="2">
        <v>1814</v>
      </c>
      <c r="D54" s="1">
        <v>0.45</v>
      </c>
      <c r="E54">
        <v>6</v>
      </c>
      <c r="F54">
        <v>2.2000000000000002</v>
      </c>
      <c r="G54" s="2">
        <f>C54-B54</f>
        <v>824</v>
      </c>
      <c r="H54" t="str">
        <f>IF(F54="","Missing",IF(F54&gt;=4,"Excellent",IF(F54&gt;=3,"Good",IF(F54&gt;=2,"Average","Poor"))))</f>
        <v>Average</v>
      </c>
      <c r="I54" t="str">
        <f t="shared" si="0"/>
        <v>High</v>
      </c>
      <c r="J54" t="str">
        <f t="shared" si="1"/>
        <v>Budget</v>
      </c>
    </row>
    <row r="55" spans="1:10" x14ac:dyDescent="0.2">
      <c r="A55" t="s">
        <v>227</v>
      </c>
      <c r="B55">
        <v>968</v>
      </c>
      <c r="C55" s="2">
        <v>1814</v>
      </c>
      <c r="D55" s="1">
        <v>0.47</v>
      </c>
      <c r="E55">
        <v>6</v>
      </c>
      <c r="F55">
        <v>2.2000000000000002</v>
      </c>
      <c r="G55" s="2">
        <f>C55-B55</f>
        <v>846</v>
      </c>
      <c r="H55" t="str">
        <f>IF(F55="","Missing",IF(F55&gt;=4,"Excellent",IF(F55&gt;=3,"Good",IF(F55&gt;=2,"Average","Poor"))))</f>
        <v>Average</v>
      </c>
      <c r="I55" t="str">
        <f t="shared" si="0"/>
        <v>High</v>
      </c>
      <c r="J55" t="str">
        <f t="shared" si="1"/>
        <v>Budget</v>
      </c>
    </row>
    <row r="56" spans="1:10" x14ac:dyDescent="0.2">
      <c r="A56" t="s">
        <v>190</v>
      </c>
      <c r="B56" s="2">
        <v>2115</v>
      </c>
      <c r="C56" s="2">
        <v>4700</v>
      </c>
      <c r="D56" s="1">
        <v>0.55000000000000004</v>
      </c>
      <c r="E56">
        <v>13</v>
      </c>
      <c r="F56">
        <v>2.1</v>
      </c>
      <c r="G56" s="2">
        <f>C56-B56</f>
        <v>2585</v>
      </c>
      <c r="H56" t="str">
        <f>IF(F56="","Missing",IF(F56&gt;=4,"Excellent",IF(F56&gt;=3,"Good",IF(F56&gt;=2,"Average","Poor"))))</f>
        <v>Average</v>
      </c>
      <c r="I56" t="str">
        <f t="shared" si="0"/>
        <v>High</v>
      </c>
      <c r="J56" t="str">
        <f t="shared" si="1"/>
        <v>Mid-Range</v>
      </c>
    </row>
    <row r="57" spans="1:10" x14ac:dyDescent="0.2">
      <c r="A57" t="s">
        <v>229</v>
      </c>
      <c r="B57" s="2">
        <v>1570</v>
      </c>
      <c r="C57" s="2">
        <v>2988</v>
      </c>
      <c r="D57" s="1">
        <v>0.47</v>
      </c>
      <c r="E57">
        <v>7</v>
      </c>
      <c r="F57">
        <v>2.1</v>
      </c>
      <c r="G57" s="2">
        <f>C57-B57</f>
        <v>1418</v>
      </c>
      <c r="H57" t="str">
        <f>IF(F57="","Missing",IF(F57&gt;=4,"Excellent",IF(F57&gt;=3,"Good",IF(F57&gt;=2,"Average","Poor"))))</f>
        <v>Average</v>
      </c>
      <c r="I57" t="str">
        <f t="shared" si="0"/>
        <v>High</v>
      </c>
      <c r="J57" t="str">
        <f t="shared" si="1"/>
        <v>Mid-Range</v>
      </c>
    </row>
    <row r="58" spans="1:10" x14ac:dyDescent="0.2">
      <c r="A58" t="s">
        <v>318</v>
      </c>
      <c r="B58">
        <v>450</v>
      </c>
      <c r="C58">
        <v>900</v>
      </c>
      <c r="D58" s="1">
        <v>0.5</v>
      </c>
      <c r="E58">
        <v>1</v>
      </c>
      <c r="F58">
        <v>2</v>
      </c>
      <c r="G58" s="2">
        <f>C58-B58</f>
        <v>450</v>
      </c>
      <c r="H58" t="str">
        <f>IF(F58="","Missing",IF(F58&gt;=4,"Excellent",IF(F58&gt;=3,"Good",IF(F58&gt;=2,"Average","Poor"))))</f>
        <v>Average</v>
      </c>
      <c r="I58" t="str">
        <f t="shared" si="0"/>
        <v>High</v>
      </c>
      <c r="J58" t="str">
        <f t="shared" si="1"/>
        <v>Budget</v>
      </c>
    </row>
    <row r="59" spans="1:10" x14ac:dyDescent="0.2">
      <c r="A59" t="s">
        <v>75</v>
      </c>
      <c r="B59" s="2">
        <v>1860</v>
      </c>
      <c r="C59" s="2">
        <v>3220</v>
      </c>
      <c r="D59" s="1">
        <v>0.42</v>
      </c>
      <c r="G59" s="2">
        <f>C59-B59</f>
        <v>1360</v>
      </c>
      <c r="H59" t="str">
        <f>IF(F59="","Missing",IF(F59&gt;=4,"Excellent",IF(F59&gt;=3,"Good",IF(F59&gt;=2,"Average","Poor"))))</f>
        <v>Missing</v>
      </c>
      <c r="I59" t="str">
        <f t="shared" si="0"/>
        <v>High</v>
      </c>
      <c r="J59" t="str">
        <f t="shared" si="1"/>
        <v>Mid-Range</v>
      </c>
    </row>
    <row r="60" spans="1:10" x14ac:dyDescent="0.2">
      <c r="A60" t="s">
        <v>99</v>
      </c>
      <c r="B60" s="2">
        <v>2200</v>
      </c>
      <c r="C60" s="2">
        <v>4080</v>
      </c>
      <c r="D60" s="1">
        <v>0.46</v>
      </c>
      <c r="G60" s="2">
        <f>C60-B60</f>
        <v>1880</v>
      </c>
      <c r="H60" t="str">
        <f>IF(F60="","Missing",IF(F60&gt;=4,"Excellent",IF(F60&gt;=3,"Good",IF(F60&gt;=2,"Average","Poor"))))</f>
        <v>Missing</v>
      </c>
      <c r="I60" t="str">
        <f t="shared" si="0"/>
        <v>High</v>
      </c>
      <c r="J60" t="str">
        <f t="shared" si="1"/>
        <v>Mid-Range</v>
      </c>
    </row>
    <row r="61" spans="1:10" x14ac:dyDescent="0.2">
      <c r="A61" t="s">
        <v>128</v>
      </c>
      <c r="B61" s="2">
        <v>2750</v>
      </c>
      <c r="C61" s="2">
        <v>4471</v>
      </c>
      <c r="D61" s="1">
        <v>0.38</v>
      </c>
      <c r="G61" s="2">
        <f>C61-B61</f>
        <v>1721</v>
      </c>
      <c r="H61" t="str">
        <f>IF(F61="","Missing",IF(F61&gt;=4,"Excellent",IF(F61&gt;=3,"Good",IF(F61&gt;=2,"Average","Poor"))))</f>
        <v>Missing</v>
      </c>
      <c r="I61" t="str">
        <f t="shared" si="0"/>
        <v>Moderate</v>
      </c>
      <c r="J61" t="str">
        <f t="shared" si="1"/>
        <v>Mid-Range</v>
      </c>
    </row>
    <row r="62" spans="1:10" x14ac:dyDescent="0.2">
      <c r="A62" t="s">
        <v>131</v>
      </c>
      <c r="B62">
        <v>475</v>
      </c>
      <c r="C62">
        <v>931</v>
      </c>
      <c r="D62" s="1">
        <v>0.49</v>
      </c>
      <c r="G62" s="2">
        <f>C62-B62</f>
        <v>456</v>
      </c>
      <c r="H62" t="str">
        <f>IF(F62="","Missing",IF(F62&gt;=4,"Excellent",IF(F62&gt;=3,"Good",IF(F62&gt;=2,"Average","Poor"))))</f>
        <v>Missing</v>
      </c>
      <c r="I62" t="str">
        <f t="shared" si="0"/>
        <v>High</v>
      </c>
      <c r="J62" t="str">
        <f t="shared" si="1"/>
        <v>Budget</v>
      </c>
    </row>
    <row r="63" spans="1:10" x14ac:dyDescent="0.2">
      <c r="A63" t="s">
        <v>134</v>
      </c>
      <c r="B63">
        <v>238</v>
      </c>
      <c r="C63">
        <v>476</v>
      </c>
      <c r="D63" s="1">
        <v>0.5</v>
      </c>
      <c r="G63" s="2">
        <f>C63-B63</f>
        <v>238</v>
      </c>
      <c r="H63" t="str">
        <f>IF(F63="","Missing",IF(F63&gt;=4,"Excellent",IF(F63&gt;=3,"Good",IF(F63&gt;=2,"Average","Poor"))))</f>
        <v>Missing</v>
      </c>
      <c r="I63" t="str">
        <f t="shared" si="0"/>
        <v>High</v>
      </c>
      <c r="J63" t="str">
        <f t="shared" si="1"/>
        <v>Budget</v>
      </c>
    </row>
    <row r="64" spans="1:10" x14ac:dyDescent="0.2">
      <c r="A64" t="s">
        <v>137</v>
      </c>
      <c r="B64">
        <v>610</v>
      </c>
      <c r="C64" s="2">
        <v>1060</v>
      </c>
      <c r="D64" s="1">
        <v>0.42</v>
      </c>
      <c r="G64" s="2">
        <f>C64-B64</f>
        <v>450</v>
      </c>
      <c r="H64" t="str">
        <f>IF(F64="","Missing",IF(F64&gt;=4,"Excellent",IF(F64&gt;=3,"Good",IF(F64&gt;=2,"Average","Poor"))))</f>
        <v>Missing</v>
      </c>
      <c r="I64" t="str">
        <f t="shared" si="0"/>
        <v>High</v>
      </c>
      <c r="J64" t="str">
        <f t="shared" si="1"/>
        <v>Budget</v>
      </c>
    </row>
    <row r="65" spans="1:10" x14ac:dyDescent="0.2">
      <c r="A65" t="s">
        <v>140</v>
      </c>
      <c r="B65" s="2">
        <v>2132</v>
      </c>
      <c r="C65" s="2">
        <v>2169</v>
      </c>
      <c r="D65" s="1">
        <v>0.02</v>
      </c>
      <c r="G65" s="2">
        <f>C65-B65</f>
        <v>37</v>
      </c>
      <c r="H65" t="str">
        <f>IF(F65="","Missing",IF(F65&gt;=4,"Excellent",IF(F65&gt;=3,"Good",IF(F65&gt;=2,"Average","Poor"))))</f>
        <v>Missing</v>
      </c>
      <c r="I65" t="str">
        <f t="shared" si="0"/>
        <v>Low</v>
      </c>
      <c r="J65" t="str">
        <f t="shared" si="1"/>
        <v>Mid-Range</v>
      </c>
    </row>
    <row r="66" spans="1:10" x14ac:dyDescent="0.2">
      <c r="A66" t="s">
        <v>143</v>
      </c>
      <c r="B66">
        <v>999</v>
      </c>
      <c r="C66" s="2">
        <v>2000</v>
      </c>
      <c r="D66" s="1">
        <v>0.5</v>
      </c>
      <c r="G66" s="2">
        <f>C66-B66</f>
        <v>1001</v>
      </c>
      <c r="H66" t="str">
        <f>IF(F66="","Missing",IF(F66&gt;=4,"Excellent",IF(F66&gt;=3,"Good",IF(F66&gt;=2,"Average","Poor"))))</f>
        <v>Missing</v>
      </c>
      <c r="I66" t="str">
        <f t="shared" si="0"/>
        <v>High</v>
      </c>
      <c r="J66" t="str">
        <f t="shared" si="1"/>
        <v>Budget</v>
      </c>
    </row>
    <row r="67" spans="1:10" x14ac:dyDescent="0.2">
      <c r="A67" t="s">
        <v>145</v>
      </c>
      <c r="B67" s="2">
        <v>1190</v>
      </c>
      <c r="C67" s="2">
        <v>1785</v>
      </c>
      <c r="D67" s="1">
        <v>0.33</v>
      </c>
      <c r="G67" s="2">
        <f>C67-B67</f>
        <v>595</v>
      </c>
      <c r="H67" t="str">
        <f>IF(F67="","Missing",IF(F67&gt;=4,"Excellent",IF(F67&gt;=3,"Good",IF(F67&gt;=2,"Average","Poor"))))</f>
        <v>Missing</v>
      </c>
      <c r="I67" t="str">
        <f t="shared" ref="I67:I110" si="2">IF(D67="","Missing",IF(D67&lt;=20%,"Low",IF(D67&lt;=40%,"Moderate",IF(D67&lt;=60%,"High","Very High"))))</f>
        <v>Moderate</v>
      </c>
      <c r="J67" t="str">
        <f t="shared" ref="J67:J110" si="3">IF(B67="","Missing",IF(B67&lt;1000,"Budget",IF(B67&lt;3000,"Mid-Range",IF(B67&lt;5000,"Premium","High-End"))))</f>
        <v>Mid-Range</v>
      </c>
    </row>
    <row r="68" spans="1:10" x14ac:dyDescent="0.2">
      <c r="A68" t="s">
        <v>148</v>
      </c>
      <c r="B68">
        <v>671</v>
      </c>
      <c r="C68" s="2">
        <v>1316</v>
      </c>
      <c r="D68" s="1">
        <v>0.49</v>
      </c>
      <c r="G68" s="2">
        <f>C68-B68</f>
        <v>645</v>
      </c>
      <c r="H68" t="str">
        <f>IF(F68="","Missing",IF(F68&gt;=4,"Excellent",IF(F68&gt;=3,"Good",IF(F68&gt;=2,"Average","Poor"))))</f>
        <v>Missing</v>
      </c>
      <c r="I68" t="str">
        <f t="shared" si="2"/>
        <v>High</v>
      </c>
      <c r="J68" t="str">
        <f t="shared" si="3"/>
        <v>Budget</v>
      </c>
    </row>
    <row r="69" spans="1:10" x14ac:dyDescent="0.2">
      <c r="A69" t="s">
        <v>151</v>
      </c>
      <c r="B69" s="2">
        <v>1200</v>
      </c>
      <c r="C69" s="2">
        <v>1950</v>
      </c>
      <c r="D69" s="1">
        <v>0.38</v>
      </c>
      <c r="G69" s="2">
        <f>C69-B69</f>
        <v>750</v>
      </c>
      <c r="H69" t="str">
        <f>IF(F69="","Missing",IF(F69&gt;=4,"Excellent",IF(F69&gt;=3,"Good",IF(F69&gt;=2,"Average","Poor"))))</f>
        <v>Missing</v>
      </c>
      <c r="I69" t="str">
        <f t="shared" si="2"/>
        <v>Moderate</v>
      </c>
      <c r="J69" t="str">
        <f t="shared" si="3"/>
        <v>Mid-Range</v>
      </c>
    </row>
    <row r="70" spans="1:10" x14ac:dyDescent="0.2">
      <c r="A70" t="s">
        <v>154</v>
      </c>
      <c r="B70">
        <v>199</v>
      </c>
      <c r="C70">
        <v>504</v>
      </c>
      <c r="D70" s="1">
        <v>0.61</v>
      </c>
      <c r="G70" s="2">
        <f>C70-B70</f>
        <v>305</v>
      </c>
      <c r="H70" t="str">
        <f>IF(F70="","Missing",IF(F70&gt;=4,"Excellent",IF(F70&gt;=3,"Good",IF(F70&gt;=2,"Average","Poor"))))</f>
        <v>Missing</v>
      </c>
      <c r="I70" t="str">
        <f t="shared" si="2"/>
        <v>Very High</v>
      </c>
      <c r="J70" t="str">
        <f t="shared" si="3"/>
        <v>Budget</v>
      </c>
    </row>
    <row r="71" spans="1:10" x14ac:dyDescent="0.2">
      <c r="A71" t="s">
        <v>157</v>
      </c>
      <c r="B71">
        <v>299</v>
      </c>
      <c r="C71">
        <v>600</v>
      </c>
      <c r="D71" s="1">
        <v>0.5</v>
      </c>
      <c r="G71" s="2">
        <f>C71-B71</f>
        <v>301</v>
      </c>
      <c r="H71" t="str">
        <f>IF(F71="","Missing",IF(F71&gt;=4,"Excellent",IF(F71&gt;=3,"Good",IF(F71&gt;=2,"Average","Poor"))))</f>
        <v>Missing</v>
      </c>
      <c r="I71" t="str">
        <f t="shared" si="2"/>
        <v>High</v>
      </c>
      <c r="J71" t="str">
        <f t="shared" si="3"/>
        <v>Budget</v>
      </c>
    </row>
    <row r="72" spans="1:10" x14ac:dyDescent="0.2">
      <c r="A72" t="s">
        <v>160</v>
      </c>
      <c r="B72" s="2">
        <v>1660</v>
      </c>
      <c r="C72" s="2">
        <v>1699</v>
      </c>
      <c r="D72" s="1">
        <v>0.02</v>
      </c>
      <c r="G72" s="2">
        <f>C72-B72</f>
        <v>39</v>
      </c>
      <c r="H72" t="str">
        <f>IF(F72="","Missing",IF(F72&gt;=4,"Excellent",IF(F72&gt;=3,"Good",IF(F72&gt;=2,"Average","Poor"))))</f>
        <v>Missing</v>
      </c>
      <c r="I72" t="str">
        <f t="shared" si="2"/>
        <v>Low</v>
      </c>
      <c r="J72" t="str">
        <f t="shared" si="3"/>
        <v>Mid-Range</v>
      </c>
    </row>
    <row r="73" spans="1:10" x14ac:dyDescent="0.2">
      <c r="A73" t="s">
        <v>163</v>
      </c>
      <c r="B73">
        <v>299</v>
      </c>
      <c r="C73">
        <v>384</v>
      </c>
      <c r="D73" s="1">
        <v>0.22</v>
      </c>
      <c r="G73" s="2">
        <f>C73-B73</f>
        <v>85</v>
      </c>
      <c r="H73" t="str">
        <f>IF(F73="","Missing",IF(F73&gt;=4,"Excellent",IF(F73&gt;=3,"Good",IF(F73&gt;=2,"Average","Poor"))))</f>
        <v>Missing</v>
      </c>
      <c r="I73" t="str">
        <f t="shared" si="2"/>
        <v>Moderate</v>
      </c>
      <c r="J73" t="str">
        <f t="shared" si="3"/>
        <v>Budget</v>
      </c>
    </row>
    <row r="74" spans="1:10" x14ac:dyDescent="0.2">
      <c r="A74" t="s">
        <v>165</v>
      </c>
      <c r="B74" s="2">
        <v>1459</v>
      </c>
      <c r="C74" s="2">
        <v>1499</v>
      </c>
      <c r="D74" s="1">
        <v>0.03</v>
      </c>
      <c r="G74" s="2">
        <f>C74-B74</f>
        <v>40</v>
      </c>
      <c r="H74" t="str">
        <f>IF(F74="","Missing",IF(F74&gt;=4,"Excellent",IF(F74&gt;=3,"Good",IF(F74&gt;=2,"Average","Poor"))))</f>
        <v>Missing</v>
      </c>
      <c r="I74" t="str">
        <f t="shared" si="2"/>
        <v>Low</v>
      </c>
      <c r="J74" t="str">
        <f t="shared" si="3"/>
        <v>Mid-Range</v>
      </c>
    </row>
    <row r="75" spans="1:10" x14ac:dyDescent="0.2">
      <c r="A75" t="s">
        <v>168</v>
      </c>
      <c r="B75">
        <v>799</v>
      </c>
      <c r="C75" s="2">
        <v>1343</v>
      </c>
      <c r="D75" s="1">
        <v>0.41</v>
      </c>
      <c r="G75" s="2">
        <f>C75-B75</f>
        <v>544</v>
      </c>
      <c r="H75" t="str">
        <f>IF(F75="","Missing",IF(F75&gt;=4,"Excellent",IF(F75&gt;=3,"Good",IF(F75&gt;=2,"Average","Poor"))))</f>
        <v>Missing</v>
      </c>
      <c r="I75" t="str">
        <f t="shared" si="2"/>
        <v>High</v>
      </c>
      <c r="J75" t="str">
        <f t="shared" si="3"/>
        <v>Budget</v>
      </c>
    </row>
    <row r="76" spans="1:10" x14ac:dyDescent="0.2">
      <c r="A76" t="s">
        <v>170</v>
      </c>
      <c r="B76">
        <v>499</v>
      </c>
      <c r="C76">
        <v>900</v>
      </c>
      <c r="D76" s="1">
        <v>0.45</v>
      </c>
      <c r="G76" s="2">
        <f>C76-B76</f>
        <v>401</v>
      </c>
      <c r="H76" t="str">
        <f>IF(F76="","Missing",IF(F76&gt;=4,"Excellent",IF(F76&gt;=3,"Good",IF(F76&gt;=2,"Average","Poor"))))</f>
        <v>Missing</v>
      </c>
      <c r="I76" t="str">
        <f t="shared" si="2"/>
        <v>High</v>
      </c>
      <c r="J76" t="str">
        <f t="shared" si="3"/>
        <v>Budget</v>
      </c>
    </row>
    <row r="77" spans="1:10" x14ac:dyDescent="0.2">
      <c r="A77" t="s">
        <v>173</v>
      </c>
      <c r="B77">
        <v>699</v>
      </c>
      <c r="C77" s="2">
        <v>1343</v>
      </c>
      <c r="D77" s="1">
        <v>0.48</v>
      </c>
      <c r="G77" s="2">
        <f>C77-B77</f>
        <v>644</v>
      </c>
      <c r="H77" t="str">
        <f>IF(F77="","Missing",IF(F77&gt;=4,"Excellent",IF(F77&gt;=3,"Good",IF(F77&gt;=2,"Average","Poor"))))</f>
        <v>Missing</v>
      </c>
      <c r="I77" t="str">
        <f t="shared" si="2"/>
        <v>High</v>
      </c>
      <c r="J77" t="str">
        <f t="shared" si="3"/>
        <v>Budget</v>
      </c>
    </row>
    <row r="78" spans="1:10" x14ac:dyDescent="0.2">
      <c r="A78" t="s">
        <v>175</v>
      </c>
      <c r="B78">
        <v>799</v>
      </c>
      <c r="C78" s="2">
        <v>1567</v>
      </c>
      <c r="D78" s="1">
        <v>0.49</v>
      </c>
      <c r="G78" s="2">
        <f>C78-B78</f>
        <v>768</v>
      </c>
      <c r="H78" t="str">
        <f>IF(F78="","Missing",IF(F78&gt;=4,"Excellent",IF(F78&gt;=3,"Good",IF(F78&gt;=2,"Average","Poor"))))</f>
        <v>Missing</v>
      </c>
      <c r="I78" t="str">
        <f t="shared" si="2"/>
        <v>High</v>
      </c>
      <c r="J78" t="str">
        <f t="shared" si="3"/>
        <v>Budget</v>
      </c>
    </row>
    <row r="79" spans="1:10" x14ac:dyDescent="0.2">
      <c r="A79" t="s">
        <v>177</v>
      </c>
      <c r="B79" s="2">
        <v>2799</v>
      </c>
      <c r="C79" s="2">
        <v>3810</v>
      </c>
      <c r="D79" s="1">
        <v>0.27</v>
      </c>
      <c r="G79" s="2">
        <f>C79-B79</f>
        <v>1011</v>
      </c>
      <c r="H79" t="str">
        <f>IF(F79="","Missing",IF(F79&gt;=4,"Excellent",IF(F79&gt;=3,"Good",IF(F79&gt;=2,"Average","Poor"))))</f>
        <v>Missing</v>
      </c>
      <c r="I79" t="str">
        <f t="shared" si="2"/>
        <v>Moderate</v>
      </c>
      <c r="J79" t="str">
        <f t="shared" si="3"/>
        <v>Mid-Range</v>
      </c>
    </row>
    <row r="80" spans="1:10" x14ac:dyDescent="0.2">
      <c r="A80" t="s">
        <v>232</v>
      </c>
      <c r="B80">
        <v>790</v>
      </c>
      <c r="C80" s="2">
        <v>1485</v>
      </c>
      <c r="D80" s="1">
        <v>0.47</v>
      </c>
      <c r="G80" s="2">
        <f>C80-B80</f>
        <v>695</v>
      </c>
      <c r="H80" t="str">
        <f>IF(F80="","Missing",IF(F80&gt;=4,"Excellent",IF(F80&gt;=3,"Good",IF(F80&gt;=2,"Average","Poor"))))</f>
        <v>Missing</v>
      </c>
      <c r="I80" t="str">
        <f t="shared" si="2"/>
        <v>High</v>
      </c>
      <c r="J80" t="str">
        <f t="shared" si="3"/>
        <v>Budget</v>
      </c>
    </row>
    <row r="81" spans="1:10" x14ac:dyDescent="0.2">
      <c r="A81" t="s">
        <v>235</v>
      </c>
      <c r="B81">
        <v>690</v>
      </c>
      <c r="C81" s="2">
        <v>1200</v>
      </c>
      <c r="D81" s="1">
        <v>0.43</v>
      </c>
      <c r="G81" s="2">
        <f>C81-B81</f>
        <v>510</v>
      </c>
      <c r="H81" t="str">
        <f>IF(F81="","Missing",IF(F81&gt;=4,"Excellent",IF(F81&gt;=3,"Good",IF(F81&gt;=2,"Average","Poor"))))</f>
        <v>Missing</v>
      </c>
      <c r="I81" t="str">
        <f t="shared" si="2"/>
        <v>High</v>
      </c>
      <c r="J81" t="str">
        <f t="shared" si="3"/>
        <v>Budget</v>
      </c>
    </row>
    <row r="82" spans="1:10" x14ac:dyDescent="0.2">
      <c r="A82" t="s">
        <v>237</v>
      </c>
      <c r="B82" s="2">
        <v>1732</v>
      </c>
      <c r="C82" s="2">
        <v>1799</v>
      </c>
      <c r="D82" s="1">
        <v>0.04</v>
      </c>
      <c r="G82" s="2">
        <f>C82-B82</f>
        <v>67</v>
      </c>
      <c r="H82" t="str">
        <f>IF(F82="","Missing",IF(F82&gt;=4,"Excellent",IF(F82&gt;=3,"Good",IF(F82&gt;=2,"Average","Poor"))))</f>
        <v>Missing</v>
      </c>
      <c r="I82" t="str">
        <f t="shared" si="2"/>
        <v>Low</v>
      </c>
      <c r="J82" t="str">
        <f t="shared" si="3"/>
        <v>Mid-Range</v>
      </c>
    </row>
    <row r="83" spans="1:10" x14ac:dyDescent="0.2">
      <c r="A83" t="s">
        <v>240</v>
      </c>
      <c r="B83">
        <v>230</v>
      </c>
      <c r="C83">
        <v>450</v>
      </c>
      <c r="D83" s="1">
        <v>0.49</v>
      </c>
      <c r="G83" s="2">
        <f>C83-B83</f>
        <v>220</v>
      </c>
      <c r="H83" t="str">
        <f>IF(F83="","Missing",IF(F83&gt;=4,"Excellent",IF(F83&gt;=3,"Good",IF(F83&gt;=2,"Average","Poor"))))</f>
        <v>Missing</v>
      </c>
      <c r="I83" t="str">
        <f t="shared" si="2"/>
        <v>High</v>
      </c>
      <c r="J83" t="str">
        <f t="shared" si="3"/>
        <v>Budget</v>
      </c>
    </row>
    <row r="84" spans="1:10" x14ac:dyDescent="0.2">
      <c r="A84" t="s">
        <v>248</v>
      </c>
      <c r="B84" s="2">
        <v>1460</v>
      </c>
      <c r="C84" s="2">
        <v>2290</v>
      </c>
      <c r="D84" s="1">
        <v>0.36</v>
      </c>
      <c r="G84" s="2">
        <f>C84-B84</f>
        <v>830</v>
      </c>
      <c r="H84" t="str">
        <f>IF(F84="","Missing",IF(F84&gt;=4,"Excellent",IF(F84&gt;=3,"Good",IF(F84&gt;=2,"Average","Poor"))))</f>
        <v>Missing</v>
      </c>
      <c r="I84" t="str">
        <f t="shared" si="2"/>
        <v>Moderate</v>
      </c>
      <c r="J84" t="str">
        <f t="shared" si="3"/>
        <v>Mid-Range</v>
      </c>
    </row>
    <row r="85" spans="1:10" x14ac:dyDescent="0.2">
      <c r="A85" t="s">
        <v>251</v>
      </c>
      <c r="B85" s="2">
        <v>1666</v>
      </c>
      <c r="C85" s="2">
        <v>1699</v>
      </c>
      <c r="D85" s="1">
        <v>0.02</v>
      </c>
      <c r="G85" s="2">
        <f>C85-B85</f>
        <v>33</v>
      </c>
      <c r="H85" t="str">
        <f>IF(F85="","Missing",IF(F85&gt;=4,"Excellent",IF(F85&gt;=3,"Good",IF(F85&gt;=2,"Average","Poor"))))</f>
        <v>Missing</v>
      </c>
      <c r="I85" t="str">
        <f t="shared" si="2"/>
        <v>Low</v>
      </c>
      <c r="J85" t="str">
        <f t="shared" si="3"/>
        <v>Mid-Range</v>
      </c>
    </row>
    <row r="86" spans="1:10" x14ac:dyDescent="0.2">
      <c r="A86" t="s">
        <v>256</v>
      </c>
      <c r="B86" s="2">
        <v>1466</v>
      </c>
      <c r="C86" s="2">
        <v>1699</v>
      </c>
      <c r="D86" s="1">
        <v>0.14000000000000001</v>
      </c>
      <c r="G86" s="2">
        <f>C86-B86</f>
        <v>233</v>
      </c>
      <c r="H86" t="str">
        <f>IF(F86="","Missing",IF(F86&gt;=4,"Excellent",IF(F86&gt;=3,"Good",IF(F86&gt;=2,"Average","Poor"))))</f>
        <v>Missing</v>
      </c>
      <c r="I86" t="str">
        <f t="shared" si="2"/>
        <v>Low</v>
      </c>
      <c r="J86" t="str">
        <f t="shared" si="3"/>
        <v>Mid-Range</v>
      </c>
    </row>
    <row r="87" spans="1:10" x14ac:dyDescent="0.2">
      <c r="A87" t="s">
        <v>258</v>
      </c>
      <c r="B87">
        <v>274</v>
      </c>
      <c r="C87">
        <v>537</v>
      </c>
      <c r="D87" s="1">
        <v>0.49</v>
      </c>
      <c r="G87" s="2">
        <f>C87-B87</f>
        <v>263</v>
      </c>
      <c r="H87" t="str">
        <f>IF(F87="","Missing",IF(F87&gt;=4,"Excellent",IF(F87&gt;=3,"Good",IF(F87&gt;=2,"Average","Poor"))))</f>
        <v>Missing</v>
      </c>
      <c r="I87" t="str">
        <f t="shared" si="2"/>
        <v>High</v>
      </c>
      <c r="J87" t="str">
        <f t="shared" si="3"/>
        <v>Budget</v>
      </c>
    </row>
    <row r="88" spans="1:10" x14ac:dyDescent="0.2">
      <c r="A88" t="s">
        <v>261</v>
      </c>
      <c r="B88">
        <v>799</v>
      </c>
      <c r="C88">
        <v>900</v>
      </c>
      <c r="D88" s="1">
        <v>0.11</v>
      </c>
      <c r="G88" s="2">
        <f>C88-B88</f>
        <v>101</v>
      </c>
      <c r="H88" t="str">
        <f>IF(F88="","Missing",IF(F88&gt;=4,"Excellent",IF(F88&gt;=3,"Good",IF(F88&gt;=2,"Average","Poor"))))</f>
        <v>Missing</v>
      </c>
      <c r="I88" t="str">
        <f t="shared" si="2"/>
        <v>Low</v>
      </c>
      <c r="J88" t="str">
        <f t="shared" si="3"/>
        <v>Budget</v>
      </c>
    </row>
    <row r="89" spans="1:10" x14ac:dyDescent="0.2">
      <c r="A89" t="s">
        <v>264</v>
      </c>
      <c r="B89" s="2">
        <v>1468</v>
      </c>
      <c r="C89" s="2">
        <v>1699</v>
      </c>
      <c r="D89" s="1">
        <v>0.14000000000000001</v>
      </c>
      <c r="G89" s="2">
        <f>C89-B89</f>
        <v>231</v>
      </c>
      <c r="H89" t="str">
        <f>IF(F89="","Missing",IF(F89&gt;=4,"Excellent",IF(F89&gt;=3,"Good",IF(F89&gt;=2,"Average","Poor"))))</f>
        <v>Missing</v>
      </c>
      <c r="I89" t="str">
        <f t="shared" si="2"/>
        <v>Low</v>
      </c>
      <c r="J89" t="str">
        <f t="shared" si="3"/>
        <v>Mid-Range</v>
      </c>
    </row>
    <row r="90" spans="1:10" x14ac:dyDescent="0.2">
      <c r="A90" t="s">
        <v>266</v>
      </c>
      <c r="B90">
        <v>630</v>
      </c>
      <c r="C90" s="2">
        <v>1100</v>
      </c>
      <c r="D90" s="1">
        <v>0.43</v>
      </c>
      <c r="G90" s="2">
        <f>C90-B90</f>
        <v>470</v>
      </c>
      <c r="H90" t="str">
        <f>IF(F90="","Missing",IF(F90&gt;=4,"Excellent",IF(F90&gt;=3,"Good",IF(F90&gt;=2,"Average","Poor"))))</f>
        <v>Missing</v>
      </c>
      <c r="I90" t="str">
        <f t="shared" si="2"/>
        <v>High</v>
      </c>
      <c r="J90" t="str">
        <f t="shared" si="3"/>
        <v>Budget</v>
      </c>
    </row>
    <row r="91" spans="1:10" x14ac:dyDescent="0.2">
      <c r="A91" t="s">
        <v>269</v>
      </c>
      <c r="B91">
        <v>850</v>
      </c>
      <c r="C91" s="2">
        <v>1700</v>
      </c>
      <c r="D91" s="1">
        <v>0.5</v>
      </c>
      <c r="G91" s="2">
        <f>C91-B91</f>
        <v>850</v>
      </c>
      <c r="H91" t="str">
        <f>IF(F91="","Missing",IF(F91&gt;=4,"Excellent",IF(F91&gt;=3,"Good",IF(F91&gt;=2,"Average","Poor"))))</f>
        <v>Missing</v>
      </c>
      <c r="I91" t="str">
        <f t="shared" si="2"/>
        <v>High</v>
      </c>
      <c r="J91" t="str">
        <f t="shared" si="3"/>
        <v>Budget</v>
      </c>
    </row>
    <row r="92" spans="1:10" x14ac:dyDescent="0.2">
      <c r="A92" t="s">
        <v>272</v>
      </c>
      <c r="B92" s="2">
        <v>1300</v>
      </c>
      <c r="C92" s="2">
        <v>2500</v>
      </c>
      <c r="D92" s="1">
        <v>0.48</v>
      </c>
      <c r="G92" s="2">
        <f>C92-B92</f>
        <v>1200</v>
      </c>
      <c r="H92" t="str">
        <f>IF(F92="","Missing",IF(F92&gt;=4,"Excellent",IF(F92&gt;=3,"Good",IF(F92&gt;=2,"Average","Poor"))))</f>
        <v>Missing</v>
      </c>
      <c r="I92" t="str">
        <f t="shared" si="2"/>
        <v>High</v>
      </c>
      <c r="J92" t="str">
        <f t="shared" si="3"/>
        <v>Mid-Range</v>
      </c>
    </row>
    <row r="93" spans="1:10" x14ac:dyDescent="0.2">
      <c r="A93" t="s">
        <v>274</v>
      </c>
      <c r="B93">
        <v>105</v>
      </c>
      <c r="C93">
        <v>200</v>
      </c>
      <c r="D93" s="1">
        <v>0.48</v>
      </c>
      <c r="G93" s="2">
        <f>C93-B93</f>
        <v>95</v>
      </c>
      <c r="H93" t="str">
        <f>IF(F93="","Missing",IF(F93&gt;=4,"Excellent",IF(F93&gt;=3,"Good",IF(F93&gt;=2,"Average","Poor"))))</f>
        <v>Missing</v>
      </c>
      <c r="I93" t="str">
        <f t="shared" si="2"/>
        <v>High</v>
      </c>
      <c r="J93" t="str">
        <f t="shared" si="3"/>
        <v>Budget</v>
      </c>
    </row>
    <row r="94" spans="1:10" x14ac:dyDescent="0.2">
      <c r="A94" t="s">
        <v>277</v>
      </c>
      <c r="B94">
        <v>899</v>
      </c>
      <c r="C94" s="2">
        <v>1699</v>
      </c>
      <c r="D94" s="1">
        <v>0.47</v>
      </c>
      <c r="G94" s="2">
        <f>C94-B94</f>
        <v>800</v>
      </c>
      <c r="H94" t="str">
        <f>IF(F94="","Missing",IF(F94&gt;=4,"Excellent",IF(F94&gt;=3,"Good",IF(F94&gt;=2,"Average","Poor"))))</f>
        <v>Missing</v>
      </c>
      <c r="I94" t="str">
        <f t="shared" si="2"/>
        <v>High</v>
      </c>
      <c r="J94" t="str">
        <f t="shared" si="3"/>
        <v>Budget</v>
      </c>
    </row>
    <row r="95" spans="1:10" x14ac:dyDescent="0.2">
      <c r="A95" t="s">
        <v>278</v>
      </c>
      <c r="B95" s="2">
        <v>1200</v>
      </c>
      <c r="C95" s="2">
        <v>2400</v>
      </c>
      <c r="D95" s="1">
        <v>0.5</v>
      </c>
      <c r="G95" s="2">
        <f>C95-B95</f>
        <v>1200</v>
      </c>
      <c r="H95" t="str">
        <f>IF(F95="","Missing",IF(F95&gt;=4,"Excellent",IF(F95&gt;=3,"Good",IF(F95&gt;=2,"Average","Poor"))))</f>
        <v>Missing</v>
      </c>
      <c r="I95" t="str">
        <f t="shared" si="2"/>
        <v>High</v>
      </c>
      <c r="J95" t="str">
        <f t="shared" si="3"/>
        <v>Mid-Range</v>
      </c>
    </row>
    <row r="96" spans="1:10" x14ac:dyDescent="0.2">
      <c r="A96" t="s">
        <v>280</v>
      </c>
      <c r="B96" s="2">
        <v>1526</v>
      </c>
      <c r="C96" s="2">
        <v>1660</v>
      </c>
      <c r="D96" s="1">
        <v>0.08</v>
      </c>
      <c r="G96" s="2">
        <f>C96-B96</f>
        <v>134</v>
      </c>
      <c r="H96" t="str">
        <f>IF(F96="","Missing",IF(F96&gt;=4,"Excellent",IF(F96&gt;=3,"Good",IF(F96&gt;=2,"Average","Poor"))))</f>
        <v>Missing</v>
      </c>
      <c r="I96" t="str">
        <f t="shared" si="2"/>
        <v>Low</v>
      </c>
      <c r="J96" t="str">
        <f t="shared" si="3"/>
        <v>Mid-Range</v>
      </c>
    </row>
    <row r="97" spans="1:10" x14ac:dyDescent="0.2">
      <c r="A97" t="s">
        <v>282</v>
      </c>
      <c r="B97" s="2">
        <v>1462</v>
      </c>
      <c r="C97" s="2">
        <v>1499</v>
      </c>
      <c r="D97" s="1">
        <v>0.02</v>
      </c>
      <c r="G97" s="2">
        <f>C97-B97</f>
        <v>37</v>
      </c>
      <c r="H97" t="str">
        <f>IF(F97="","Missing",IF(F97&gt;=4,"Excellent",IF(F97&gt;=3,"Good",IF(F97&gt;=2,"Average","Poor"))))</f>
        <v>Missing</v>
      </c>
      <c r="I97" t="str">
        <f t="shared" si="2"/>
        <v>Low</v>
      </c>
      <c r="J97" t="str">
        <f t="shared" si="3"/>
        <v>Mid-Range</v>
      </c>
    </row>
    <row r="98" spans="1:10" x14ac:dyDescent="0.2">
      <c r="A98" t="s">
        <v>284</v>
      </c>
      <c r="B98">
        <v>248</v>
      </c>
      <c r="C98">
        <v>486</v>
      </c>
      <c r="D98" s="1">
        <v>0.49</v>
      </c>
      <c r="G98" s="2">
        <f>C98-B98</f>
        <v>238</v>
      </c>
      <c r="H98" t="str">
        <f>IF(F98="","Missing",IF(F98&gt;=4,"Excellent",IF(F98&gt;=3,"Good",IF(F98&gt;=2,"Average","Poor"))))</f>
        <v>Missing</v>
      </c>
      <c r="I98" t="str">
        <f t="shared" si="2"/>
        <v>High</v>
      </c>
      <c r="J98" t="str">
        <f t="shared" si="3"/>
        <v>Budget</v>
      </c>
    </row>
    <row r="99" spans="1:10" x14ac:dyDescent="0.2">
      <c r="A99" t="s">
        <v>287</v>
      </c>
      <c r="B99" s="2">
        <v>3546</v>
      </c>
      <c r="C99" s="2">
        <v>3699</v>
      </c>
      <c r="D99" s="1">
        <v>0.04</v>
      </c>
      <c r="G99" s="2">
        <f>C99-B99</f>
        <v>153</v>
      </c>
      <c r="H99" t="str">
        <f>IF(F99="","Missing",IF(F99&gt;=4,"Excellent",IF(F99&gt;=3,"Good",IF(F99&gt;=2,"Average","Poor"))))</f>
        <v>Missing</v>
      </c>
      <c r="I99" t="str">
        <f t="shared" si="2"/>
        <v>Low</v>
      </c>
      <c r="J99" t="str">
        <f t="shared" si="3"/>
        <v>Premium</v>
      </c>
    </row>
    <row r="100" spans="1:10" x14ac:dyDescent="0.2">
      <c r="A100" t="s">
        <v>289</v>
      </c>
      <c r="B100">
        <v>525</v>
      </c>
      <c r="C100" s="2">
        <v>1029</v>
      </c>
      <c r="D100" s="1">
        <v>0.49</v>
      </c>
      <c r="G100" s="2">
        <f>C100-B100</f>
        <v>504</v>
      </c>
      <c r="H100" t="str">
        <f>IF(F100="","Missing",IF(F100&gt;=4,"Excellent",IF(F100&gt;=3,"Good",IF(F100&gt;=2,"Average","Poor"))))</f>
        <v>Missing</v>
      </c>
      <c r="I100" t="str">
        <f t="shared" si="2"/>
        <v>High</v>
      </c>
      <c r="J100" t="str">
        <f t="shared" si="3"/>
        <v>Budget</v>
      </c>
    </row>
    <row r="101" spans="1:10" x14ac:dyDescent="0.2">
      <c r="A101" t="s">
        <v>292</v>
      </c>
      <c r="B101" s="2">
        <v>1080</v>
      </c>
      <c r="C101" s="2">
        <v>1874</v>
      </c>
      <c r="D101" s="1">
        <v>0.42</v>
      </c>
      <c r="G101" s="2">
        <f>C101-B101</f>
        <v>794</v>
      </c>
      <c r="H101" t="str">
        <f>IF(F101="","Missing",IF(F101&gt;=4,"Excellent",IF(F101&gt;=3,"Good",IF(F101&gt;=2,"Average","Poor"))))</f>
        <v>Missing</v>
      </c>
      <c r="I101" t="str">
        <f t="shared" si="2"/>
        <v>High</v>
      </c>
      <c r="J101" t="str">
        <f t="shared" si="3"/>
        <v>Mid-Range</v>
      </c>
    </row>
    <row r="102" spans="1:10" x14ac:dyDescent="0.2">
      <c r="A102" t="s">
        <v>298</v>
      </c>
      <c r="B102" s="2">
        <v>1420</v>
      </c>
      <c r="C102" s="2">
        <v>2420</v>
      </c>
      <c r="D102" s="1">
        <v>0.41</v>
      </c>
      <c r="G102" s="2">
        <f>C102-B102</f>
        <v>1000</v>
      </c>
      <c r="H102" t="str">
        <f>IF(F102="","Missing",IF(F102&gt;=4,"Excellent",IF(F102&gt;=3,"Good",IF(F102&gt;=2,"Average","Poor"))))</f>
        <v>Missing</v>
      </c>
      <c r="I102" t="str">
        <f t="shared" si="2"/>
        <v>High</v>
      </c>
      <c r="J102" t="str">
        <f t="shared" si="3"/>
        <v>Mid-Range</v>
      </c>
    </row>
    <row r="103" spans="1:10" x14ac:dyDescent="0.2">
      <c r="A103" t="s">
        <v>301</v>
      </c>
      <c r="B103" s="2">
        <v>1875</v>
      </c>
      <c r="C103" s="2">
        <v>1899</v>
      </c>
      <c r="D103" s="1">
        <v>0.01</v>
      </c>
      <c r="G103" s="2">
        <f>C103-B103</f>
        <v>24</v>
      </c>
      <c r="H103" t="str">
        <f>IF(F103="","Missing",IF(F103&gt;=4,"Excellent",IF(F103&gt;=3,"Good",IF(F103&gt;=2,"Average","Poor"))))</f>
        <v>Missing</v>
      </c>
      <c r="I103" t="str">
        <f t="shared" si="2"/>
        <v>Low</v>
      </c>
      <c r="J103" t="str">
        <f t="shared" si="3"/>
        <v>Mid-Range</v>
      </c>
    </row>
    <row r="104" spans="1:10" x14ac:dyDescent="0.2">
      <c r="A104" t="s">
        <v>304</v>
      </c>
      <c r="B104">
        <v>198</v>
      </c>
      <c r="C104">
        <v>260</v>
      </c>
      <c r="D104" s="1">
        <v>0.24</v>
      </c>
      <c r="G104" s="2">
        <f>C104-B104</f>
        <v>62</v>
      </c>
      <c r="H104" t="str">
        <f>IF(F104="","Missing",IF(F104&gt;=4,"Excellent",IF(F104&gt;=3,"Good",IF(F104&gt;=2,"Average","Poor"))))</f>
        <v>Missing</v>
      </c>
      <c r="I104" t="str">
        <f t="shared" si="2"/>
        <v>Moderate</v>
      </c>
      <c r="J104" t="str">
        <f t="shared" si="3"/>
        <v>Budget</v>
      </c>
    </row>
    <row r="105" spans="1:10" x14ac:dyDescent="0.2">
      <c r="A105" t="s">
        <v>307</v>
      </c>
      <c r="B105" s="2">
        <v>1150</v>
      </c>
      <c r="C105" s="2">
        <v>1737</v>
      </c>
      <c r="D105" s="1">
        <v>0.34</v>
      </c>
      <c r="G105" s="2">
        <f>C105-B105</f>
        <v>587</v>
      </c>
      <c r="H105" t="str">
        <f>IF(F105="","Missing",IF(F105&gt;=4,"Excellent",IF(F105&gt;=3,"Good",IF(F105&gt;=2,"Average","Poor"))))</f>
        <v>Missing</v>
      </c>
      <c r="I105" t="str">
        <f t="shared" si="2"/>
        <v>Moderate</v>
      </c>
      <c r="J105" t="str">
        <f t="shared" si="3"/>
        <v>Mid-Range</v>
      </c>
    </row>
    <row r="106" spans="1:10" x14ac:dyDescent="0.2">
      <c r="A106" t="s">
        <v>310</v>
      </c>
      <c r="B106" s="2">
        <v>1190</v>
      </c>
      <c r="C106" s="2">
        <v>1810</v>
      </c>
      <c r="D106" s="1">
        <v>0.34</v>
      </c>
      <c r="G106" s="2">
        <f>C106-B106</f>
        <v>620</v>
      </c>
      <c r="H106" t="str">
        <f>IF(F106="","Missing",IF(F106&gt;=4,"Excellent",IF(F106&gt;=3,"Good",IF(F106&gt;=2,"Average","Poor"))))</f>
        <v>Missing</v>
      </c>
      <c r="I106" t="str">
        <f t="shared" si="2"/>
        <v>Moderate</v>
      </c>
      <c r="J106" t="str">
        <f t="shared" si="3"/>
        <v>Mid-Range</v>
      </c>
    </row>
    <row r="107" spans="1:10" x14ac:dyDescent="0.2">
      <c r="A107" t="s">
        <v>312</v>
      </c>
      <c r="B107" s="2">
        <v>1658</v>
      </c>
      <c r="C107" s="2">
        <v>1699</v>
      </c>
      <c r="D107" s="1">
        <v>0.02</v>
      </c>
      <c r="G107" s="2">
        <f>C107-B107</f>
        <v>41</v>
      </c>
      <c r="H107" t="str">
        <f>IF(F107="","Missing",IF(F107&gt;=4,"Excellent",IF(F107&gt;=3,"Good",IF(F107&gt;=2,"Average","Poor"))))</f>
        <v>Missing</v>
      </c>
      <c r="I107" t="str">
        <f t="shared" si="2"/>
        <v>Low</v>
      </c>
      <c r="J107" t="str">
        <f t="shared" si="3"/>
        <v>Mid-Range</v>
      </c>
    </row>
    <row r="108" spans="1:10" x14ac:dyDescent="0.2">
      <c r="A108" t="s">
        <v>314</v>
      </c>
      <c r="B108" s="2">
        <v>1768</v>
      </c>
      <c r="C108" s="2">
        <v>1799</v>
      </c>
      <c r="D108" s="1">
        <v>0.02</v>
      </c>
      <c r="G108" s="2">
        <f>C108-B108</f>
        <v>31</v>
      </c>
      <c r="H108" t="str">
        <f>IF(F108="","Missing",IF(F108&gt;=4,"Excellent",IF(F108&gt;=3,"Good",IF(F108&gt;=2,"Average","Poor"))))</f>
        <v>Missing</v>
      </c>
      <c r="I108" t="str">
        <f t="shared" si="2"/>
        <v>Low</v>
      </c>
      <c r="J108" t="str">
        <f t="shared" si="3"/>
        <v>Mid-Range</v>
      </c>
    </row>
    <row r="109" spans="1:10" x14ac:dyDescent="0.2">
      <c r="A109" t="s">
        <v>316</v>
      </c>
      <c r="B109">
        <v>199</v>
      </c>
      <c r="C109">
        <v>553</v>
      </c>
      <c r="D109" s="1">
        <v>0.64</v>
      </c>
      <c r="G109" s="2">
        <f>C109-B109</f>
        <v>354</v>
      </c>
      <c r="H109" t="str">
        <f>IF(F109="","Missing",IF(F109&gt;=4,"Excellent",IF(F109&gt;=3,"Good",IF(F109&gt;=2,"Average","Poor"))))</f>
        <v>Missing</v>
      </c>
      <c r="I109" t="str">
        <f t="shared" si="2"/>
        <v>Very High</v>
      </c>
      <c r="J109" t="str">
        <f t="shared" si="3"/>
        <v>Budget</v>
      </c>
    </row>
    <row r="110" spans="1:10" x14ac:dyDescent="0.2">
      <c r="A110" t="s">
        <v>320</v>
      </c>
      <c r="B110">
        <v>169</v>
      </c>
      <c r="C110">
        <v>320</v>
      </c>
      <c r="D110" s="1">
        <v>0.47</v>
      </c>
      <c r="G110" s="2">
        <f>C110-B110</f>
        <v>151</v>
      </c>
      <c r="H110" t="str">
        <f>IF(F110="","Missing",IF(F110&gt;=4,"Excellent",IF(F110&gt;=3,"Good",IF(F110&gt;=2,"Average","Poor"))))</f>
        <v>Missing</v>
      </c>
      <c r="I110" t="str">
        <f t="shared" si="2"/>
        <v>High</v>
      </c>
      <c r="J110" t="str">
        <f t="shared" si="3"/>
        <v>Budget</v>
      </c>
    </row>
  </sheetData>
  <autoFilter ref="A1:H110" xr:uid="{7C218EF2-9783-DD49-88F6-45ED3C804D8F}">
    <sortState xmlns:xlrd2="http://schemas.microsoft.com/office/spreadsheetml/2017/richdata2" ref="A2:H110">
      <sortCondition descending="1" ref="F1:F110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FB430-2E38-234A-9646-B5389EA2354C}">
  <dimension ref="A1:C6"/>
  <sheetViews>
    <sheetView zoomScaleNormal="60" zoomScaleSheetLayoutView="100" workbookViewId="0">
      <selection activeCell="C6" sqref="C6"/>
    </sheetView>
  </sheetViews>
  <sheetFormatPr defaultRowHeight="15" x14ac:dyDescent="0.2"/>
  <cols>
    <col min="1" max="1" width="16.41015625" customWidth="1"/>
    <col min="2" max="2" width="25.2890625" customWidth="1"/>
    <col min="3" max="3" width="17.75390625" customWidth="1"/>
  </cols>
  <sheetData>
    <row r="1" spans="1:3" x14ac:dyDescent="0.2">
      <c r="A1" t="s">
        <v>324</v>
      </c>
      <c r="B1" t="s">
        <v>325</v>
      </c>
      <c r="C1" t="s">
        <v>326</v>
      </c>
    </row>
    <row r="2" spans="1:3" x14ac:dyDescent="0.2">
      <c r="A2" t="s">
        <v>330</v>
      </c>
      <c r="B2" t="s">
        <v>331</v>
      </c>
      <c r="C2" t="s">
        <v>332</v>
      </c>
    </row>
    <row r="3" spans="1:3" x14ac:dyDescent="0.2">
      <c r="A3" t="s">
        <v>327</v>
      </c>
      <c r="B3" t="s">
        <v>328</v>
      </c>
      <c r="C3" t="s">
        <v>329</v>
      </c>
    </row>
    <row r="4" spans="1:3" x14ac:dyDescent="0.2">
      <c r="A4" t="s">
        <v>333</v>
      </c>
      <c r="B4" t="s">
        <v>337</v>
      </c>
      <c r="C4" t="s">
        <v>339</v>
      </c>
    </row>
    <row r="5" spans="1:3" x14ac:dyDescent="0.2">
      <c r="A5" t="s">
        <v>334</v>
      </c>
      <c r="B5" t="s">
        <v>338</v>
      </c>
      <c r="C5" t="s">
        <v>340</v>
      </c>
    </row>
    <row r="6" spans="1:3" x14ac:dyDescent="0.2">
      <c r="A6" t="s">
        <v>335</v>
      </c>
      <c r="B6" t="s">
        <v>336</v>
      </c>
      <c r="C6" t="s">
        <v>341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01C8C-2B72-8B45-8E52-795FF7B6E484}">
  <dimension ref="A1:E50"/>
  <sheetViews>
    <sheetView tabSelected="1" zoomScaleNormal="60" zoomScaleSheetLayoutView="100" workbookViewId="0">
      <selection activeCell="E33" sqref="E33"/>
    </sheetView>
  </sheetViews>
  <sheetFormatPr defaultRowHeight="15" x14ac:dyDescent="0.2"/>
  <cols>
    <col min="1" max="1" width="19.37109375" customWidth="1"/>
    <col min="2" max="2" width="16.140625" customWidth="1"/>
    <col min="5" max="5" width="11.97265625" bestFit="1" customWidth="1"/>
  </cols>
  <sheetData>
    <row r="1" spans="1:5" ht="18.75" x14ac:dyDescent="0.25">
      <c r="A1" s="7" t="s">
        <v>389</v>
      </c>
      <c r="D1" s="7" t="s">
        <v>379</v>
      </c>
    </row>
    <row r="3" spans="1:5" x14ac:dyDescent="0.2">
      <c r="A3" t="s">
        <v>346</v>
      </c>
      <c r="B3">
        <f>COUNTA('Cleaned data'!A2:A200)</f>
        <v>109</v>
      </c>
      <c r="D3" t="s">
        <v>344</v>
      </c>
      <c r="E3" t="s">
        <v>382</v>
      </c>
    </row>
    <row r="4" spans="1:5" x14ac:dyDescent="0.2">
      <c r="A4" t="s">
        <v>347</v>
      </c>
      <c r="B4">
        <f>AVERAGE('Cleaned data'!B2:B200)</f>
        <v>1208.2568807339449</v>
      </c>
      <c r="D4" t="s">
        <v>380</v>
      </c>
      <c r="E4">
        <f>SUMIF('Cleaned data'!I2:I200,"Low",'Cleaned data'!E2:E200)/COUNTIFS('Cleaned data'!I2:I200,"Low",'Cleaned data'!E2:E200,"&gt;=0")</f>
        <v>10</v>
      </c>
    </row>
    <row r="5" spans="1:5" x14ac:dyDescent="0.2">
      <c r="A5" t="s">
        <v>348</v>
      </c>
      <c r="B5" s="2">
        <f>AVERAGE('Cleaned data'!C2:C200)</f>
        <v>1837.7522935779816</v>
      </c>
      <c r="D5" t="s">
        <v>365</v>
      </c>
      <c r="E5">
        <f>SUMIF('Cleaned data'!I2:I200,"Moderate",'Cleaned data'!E2:E200)/COUNTIFS('Cleaned data'!I2:I200,"Moderate",'Cleaned data'!E2:E200,"&gt;=0")</f>
        <v>15.409090909090908</v>
      </c>
    </row>
    <row r="6" spans="1:5" x14ac:dyDescent="0.2">
      <c r="A6" t="s">
        <v>349</v>
      </c>
      <c r="B6" s="1">
        <f>AVERAGE('Cleaned data'!D2:D200)</f>
        <v>0.36385321100917423</v>
      </c>
      <c r="D6" t="s">
        <v>381</v>
      </c>
      <c r="E6">
        <f>SUMIF('Cleaned data'!I2:I200,"High",'Cleaned data'!E2:E200)/COUNTIFS('Cleaned data'!I2:I200,"High",'Cleaned data'!E2:E200,"&gt;=0")</f>
        <v>11.133333333333333</v>
      </c>
    </row>
    <row r="7" spans="1:5" x14ac:dyDescent="0.2">
      <c r="A7" t="s">
        <v>350</v>
      </c>
      <c r="B7">
        <f>AVERAGE('Cleaned data'!E2:E200)</f>
        <v>12.684210526315789</v>
      </c>
    </row>
    <row r="8" spans="1:5" x14ac:dyDescent="0.2">
      <c r="A8" t="s">
        <v>351</v>
      </c>
      <c r="B8">
        <f>AVERAGE('Cleaned data'!F2:F200)</f>
        <v>3.8894736842105262</v>
      </c>
    </row>
    <row r="9" spans="1:5" x14ac:dyDescent="0.2">
      <c r="A9" t="s">
        <v>352</v>
      </c>
      <c r="B9">
        <f>MIN('Cleaned data'!B2:B200)</f>
        <v>38</v>
      </c>
    </row>
    <row r="10" spans="1:5" x14ac:dyDescent="0.2">
      <c r="A10" t="s">
        <v>353</v>
      </c>
      <c r="B10">
        <f>MAX('Cleaned data'!B2:B200)</f>
        <v>3750</v>
      </c>
    </row>
    <row r="11" spans="1:5" x14ac:dyDescent="0.2">
      <c r="A11" t="s">
        <v>354</v>
      </c>
      <c r="B11" s="2">
        <f>MIN('Cleaned data'!C2:C200)</f>
        <v>80</v>
      </c>
    </row>
    <row r="12" spans="1:5" x14ac:dyDescent="0.2">
      <c r="A12" t="s">
        <v>355</v>
      </c>
      <c r="B12" s="2">
        <f>MAX('Cleaned data'!C2:C200)</f>
        <v>6143</v>
      </c>
    </row>
    <row r="14" spans="1:5" x14ac:dyDescent="0.2">
      <c r="A14" t="s">
        <v>356</v>
      </c>
      <c r="B14">
        <f>SUM('Cleaned data'!E2:E200)</f>
        <v>723</v>
      </c>
    </row>
    <row r="15" spans="1:5" x14ac:dyDescent="0.2">
      <c r="A15" t="s">
        <v>357</v>
      </c>
      <c r="B15" s="2">
        <f>SUM('Cleaned data'!G2:G200)</f>
        <v>68615</v>
      </c>
    </row>
    <row r="17" spans="1:2" x14ac:dyDescent="0.2">
      <c r="A17" t="s">
        <v>358</v>
      </c>
    </row>
    <row r="18" spans="1:2" x14ac:dyDescent="0.2">
      <c r="A18" t="s">
        <v>359</v>
      </c>
      <c r="B18">
        <f>COUNTIF('Cleaned data'!J2:J200,"Budget")</f>
        <v>54</v>
      </c>
    </row>
    <row r="19" spans="1:2" x14ac:dyDescent="0.2">
      <c r="A19" t="s">
        <v>360</v>
      </c>
      <c r="B19">
        <f>COUNTIF('Cleaned data'!J2:J200,"Mid-Range")</f>
        <v>52</v>
      </c>
    </row>
    <row r="20" spans="1:2" x14ac:dyDescent="0.2">
      <c r="A20" t="s">
        <v>361</v>
      </c>
      <c r="B20">
        <f>COUNTIF('Cleaned data'!J2:J200,"Premium")</f>
        <v>3</v>
      </c>
    </row>
    <row r="21" spans="1:2" x14ac:dyDescent="0.2">
      <c r="A21" t="s">
        <v>362</v>
      </c>
      <c r="B21">
        <f>COUNTIF('Cleaned data'!J2:J200,"High-End")</f>
        <v>0</v>
      </c>
    </row>
    <row r="23" spans="1:2" x14ac:dyDescent="0.2">
      <c r="A23" t="s">
        <v>363</v>
      </c>
    </row>
    <row r="24" spans="1:2" x14ac:dyDescent="0.2">
      <c r="A24" t="s">
        <v>364</v>
      </c>
      <c r="B24">
        <f>COUNTIF('Cleaned data'!I2:I200,"Low")</f>
        <v>19</v>
      </c>
    </row>
    <row r="25" spans="1:2" x14ac:dyDescent="0.2">
      <c r="A25" t="s">
        <v>365</v>
      </c>
      <c r="B25">
        <f>COUNTIF('Cleaned data'!I2:I200,"Moderate")</f>
        <v>31</v>
      </c>
    </row>
    <row r="26" spans="1:2" x14ac:dyDescent="0.2">
      <c r="A26" t="s">
        <v>366</v>
      </c>
      <c r="B26">
        <f>COUNTIF('Cleaned data'!I2:I200,"High")</f>
        <v>57</v>
      </c>
    </row>
    <row r="27" spans="1:2" x14ac:dyDescent="0.2">
      <c r="A27" t="s">
        <v>367</v>
      </c>
      <c r="B27">
        <f>COUNTIF('Cleaned data'!I2:I200,"Very High")</f>
        <v>2</v>
      </c>
    </row>
    <row r="29" spans="1:2" x14ac:dyDescent="0.2">
      <c r="A29" t="s">
        <v>368</v>
      </c>
    </row>
    <row r="30" spans="1:2" x14ac:dyDescent="0.2">
      <c r="A30" t="s">
        <v>369</v>
      </c>
      <c r="B30">
        <f>COUNTIF('Cleaned data'!H2:H200,"Excellent")</f>
        <v>36</v>
      </c>
    </row>
    <row r="31" spans="1:2" x14ac:dyDescent="0.2">
      <c r="A31" t="s">
        <v>370</v>
      </c>
      <c r="B31">
        <f>COUNTIF('Cleaned data'!H2:H200,"Good")</f>
        <v>9</v>
      </c>
    </row>
    <row r="32" spans="1:2" x14ac:dyDescent="0.2">
      <c r="A32" t="s">
        <v>371</v>
      </c>
      <c r="B32">
        <f>COUNTIF('Cleaned data'!H2:H200,"Average")</f>
        <v>12</v>
      </c>
    </row>
    <row r="33" spans="1:2" x14ac:dyDescent="0.2">
      <c r="A33" t="s">
        <v>372</v>
      </c>
      <c r="B33">
        <f>COUNTIF('Cleaned data'!H2:H200,"Poor")</f>
        <v>0</v>
      </c>
    </row>
    <row r="34" spans="1:2" x14ac:dyDescent="0.2">
      <c r="A34" t="s">
        <v>373</v>
      </c>
      <c r="B34">
        <f>COUNTIF('Cleaned data'!H2:H200,"Missing")</f>
        <v>52</v>
      </c>
    </row>
    <row r="36" spans="1:2" x14ac:dyDescent="0.2">
      <c r="A36" t="s">
        <v>374</v>
      </c>
    </row>
    <row r="37" spans="1:2" x14ac:dyDescent="0.2">
      <c r="A37" t="s">
        <v>375</v>
      </c>
      <c r="B37" t="s">
        <v>376</v>
      </c>
    </row>
    <row r="38" spans="1:2" x14ac:dyDescent="0.2">
      <c r="A38" t="s">
        <v>194</v>
      </c>
      <c r="B38">
        <v>69</v>
      </c>
    </row>
    <row r="39" spans="1:2" x14ac:dyDescent="0.2">
      <c r="A39" t="s">
        <v>30</v>
      </c>
      <c r="B39">
        <v>55</v>
      </c>
    </row>
    <row r="40" spans="1:2" x14ac:dyDescent="0.2">
      <c r="A40" t="s">
        <v>89</v>
      </c>
      <c r="B40">
        <v>49</v>
      </c>
    </row>
    <row r="41" spans="1:2" x14ac:dyDescent="0.2">
      <c r="A41" t="s">
        <v>68</v>
      </c>
      <c r="B41">
        <v>44</v>
      </c>
    </row>
    <row r="42" spans="1:2" x14ac:dyDescent="0.2">
      <c r="A42" t="s">
        <v>44</v>
      </c>
      <c r="B42">
        <v>39</v>
      </c>
    </row>
    <row r="44" spans="1:2" x14ac:dyDescent="0.2">
      <c r="A44" t="s">
        <v>377</v>
      </c>
    </row>
    <row r="45" spans="1:2" x14ac:dyDescent="0.2">
      <c r="A45" t="s">
        <v>375</v>
      </c>
      <c r="B45" t="s">
        <v>378</v>
      </c>
    </row>
    <row r="46" spans="1:2" x14ac:dyDescent="0.2">
      <c r="A46" t="s">
        <v>63</v>
      </c>
      <c r="B46">
        <v>5</v>
      </c>
    </row>
    <row r="47" spans="1:2" x14ac:dyDescent="0.2">
      <c r="A47" t="s">
        <v>56</v>
      </c>
      <c r="B47">
        <v>5</v>
      </c>
    </row>
    <row r="48" spans="1:2" x14ac:dyDescent="0.2">
      <c r="A48" t="s">
        <v>60</v>
      </c>
      <c r="B48">
        <v>5</v>
      </c>
    </row>
    <row r="49" spans="1:2" x14ac:dyDescent="0.2">
      <c r="A49" t="s">
        <v>120</v>
      </c>
      <c r="B49">
        <v>5</v>
      </c>
    </row>
    <row r="50" spans="1:2" x14ac:dyDescent="0.2">
      <c r="A50" t="s">
        <v>117</v>
      </c>
      <c r="B50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285F4-70E3-CD4C-ACFE-D7247A7002B0}">
  <dimension ref="A1:C19"/>
  <sheetViews>
    <sheetView zoomScaleNormal="60" zoomScaleSheetLayoutView="100" workbookViewId="0">
      <selection activeCell="B30" sqref="B30"/>
    </sheetView>
  </sheetViews>
  <sheetFormatPr defaultRowHeight="15" x14ac:dyDescent="0.2"/>
  <cols>
    <col min="1" max="1" width="30.265625" bestFit="1" customWidth="1"/>
    <col min="2" max="2" width="11.43359375" bestFit="1" customWidth="1"/>
  </cols>
  <sheetData>
    <row r="1" spans="1:3" ht="21" x14ac:dyDescent="0.3">
      <c r="A1" s="6" t="s">
        <v>383</v>
      </c>
    </row>
    <row r="3" spans="1:3" x14ac:dyDescent="0.2">
      <c r="A3" s="4" t="s">
        <v>384</v>
      </c>
      <c r="B3" s="4"/>
      <c r="C3" s="4" t="s">
        <v>349</v>
      </c>
    </row>
    <row r="4" spans="1:3" x14ac:dyDescent="0.2">
      <c r="A4" s="3">
        <v>109</v>
      </c>
      <c r="B4" s="4"/>
      <c r="C4" s="5">
        <v>0.36</v>
      </c>
    </row>
    <row r="5" spans="1:3" x14ac:dyDescent="0.2">
      <c r="A5" s="4"/>
      <c r="B5" s="4"/>
      <c r="C5" s="4"/>
    </row>
    <row r="6" spans="1:3" x14ac:dyDescent="0.2">
      <c r="A6" s="4" t="s">
        <v>385</v>
      </c>
      <c r="B6" s="4"/>
      <c r="C6" s="4" t="s">
        <v>386</v>
      </c>
    </row>
    <row r="7" spans="1:3" x14ac:dyDescent="0.2">
      <c r="A7" s="4">
        <v>1208.26</v>
      </c>
      <c r="B7" s="4"/>
      <c r="C7" s="4">
        <v>3.88</v>
      </c>
    </row>
    <row r="10" spans="1:3" x14ac:dyDescent="0.2">
      <c r="A10" t="s">
        <v>358</v>
      </c>
      <c r="B10" t="s">
        <v>388</v>
      </c>
    </row>
    <row r="11" spans="1:3" x14ac:dyDescent="0.2">
      <c r="A11" t="s">
        <v>359</v>
      </c>
      <c r="B11">
        <v>54</v>
      </c>
    </row>
    <row r="12" spans="1:3" x14ac:dyDescent="0.2">
      <c r="A12" t="s">
        <v>360</v>
      </c>
      <c r="B12">
        <v>52</v>
      </c>
    </row>
    <row r="13" spans="1:3" x14ac:dyDescent="0.2">
      <c r="A13" t="s">
        <v>387</v>
      </c>
      <c r="B13">
        <v>3</v>
      </c>
    </row>
    <row r="15" spans="1:3" x14ac:dyDescent="0.2">
      <c r="A15" t="s">
        <v>363</v>
      </c>
      <c r="B15" t="s">
        <v>388</v>
      </c>
    </row>
    <row r="16" spans="1:3" x14ac:dyDescent="0.2">
      <c r="A16" t="s">
        <v>364</v>
      </c>
      <c r="B16">
        <v>19</v>
      </c>
    </row>
    <row r="17" spans="1:2" x14ac:dyDescent="0.2">
      <c r="A17" t="s">
        <v>365</v>
      </c>
      <c r="B17">
        <v>31</v>
      </c>
    </row>
    <row r="18" spans="1:2" x14ac:dyDescent="0.2">
      <c r="A18" t="s">
        <v>366</v>
      </c>
      <c r="B18">
        <v>57</v>
      </c>
    </row>
    <row r="19" spans="1:2" x14ac:dyDescent="0.2">
      <c r="A19" t="s">
        <v>367</v>
      </c>
      <c r="B19">
        <v>2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Cleaned data</vt:lpstr>
      <vt:lpstr>cleaning log</vt:lpstr>
      <vt:lpstr>Pivot tables </vt:lpstr>
      <vt:lpstr>Dashboard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poojarynidhi536@gmail.com</dc:creator>
  <cp:lastModifiedBy>X</cp:lastModifiedBy>
  <dcterms:created xsi:type="dcterms:W3CDTF">2026-10-01T09:52:45Z</dcterms:created>
  <dcterms:modified xsi:type="dcterms:W3CDTF">2026-10-01T09:52:45Z</dcterms:modified>
</cp:coreProperties>
</file>